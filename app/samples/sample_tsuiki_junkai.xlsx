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【地域係】\08　公共交通\02　地域公共交通会議\R7年度\99 オープンデータ修正\"/>
    </mc:Choice>
  </mc:AlternateContent>
  <bookViews>
    <workbookView xWindow="0" yWindow="1200" windowWidth="20490" windowHeight="7530" activeTab="2"/>
  </bookViews>
  <sheets>
    <sheet name="全体" sheetId="5" r:id="rId1"/>
    <sheet name="左回り" sheetId="7" r:id="rId2"/>
    <sheet name="右回り" sheetId="8" r:id="rId3"/>
  </sheets>
  <definedNames>
    <definedName name="_xlnm.Print_Area" localSheetId="0">全体!$A$1:$Q$49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0" i="5" l="1"/>
  <c r="N50" i="5"/>
  <c r="P50" i="5"/>
  <c r="D30" i="5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8" i="5" s="1"/>
  <c r="D49" i="5" s="1"/>
  <c r="M3" i="5" s="1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V11" i="5"/>
  <c r="S23" i="5" l="1"/>
  <c r="M29" i="5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l="1"/>
  <c r="M45" i="5" s="1"/>
  <c r="M46" i="5" s="1"/>
  <c r="M47" i="5" s="1"/>
  <c r="M48" i="5" s="1"/>
  <c r="M49" i="5" s="1"/>
  <c r="F3" i="5" s="1"/>
  <c r="F4" i="5" s="1"/>
  <c r="F5" i="5" s="1"/>
  <c r="F6" i="5" s="1"/>
  <c r="F7" i="5" s="1"/>
  <c r="F8" i="5" s="1"/>
  <c r="F9" i="5" s="1"/>
  <c r="S16" i="5"/>
  <c r="F10" i="5" l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U16" i="5"/>
  <c r="V16" i="5" s="1"/>
  <c r="U23" i="5" l="1"/>
  <c r="V23" i="5" s="1"/>
  <c r="S24" i="5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S17" i="5" l="1"/>
  <c r="F44" i="5"/>
  <c r="F45" i="5" s="1"/>
  <c r="F46" i="5" s="1"/>
  <c r="F47" i="5" s="1"/>
  <c r="F48" i="5" s="1"/>
  <c r="F49" i="5" s="1"/>
  <c r="O3" i="5" s="1"/>
  <c r="O4" i="5" s="1"/>
  <c r="O5" i="5" s="1"/>
  <c r="O6" i="5" s="1"/>
  <c r="O7" i="5" s="1"/>
  <c r="O8" i="5" s="1"/>
  <c r="O9" i="5" s="1"/>
  <c r="O10" i="5" l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U17" i="5"/>
  <c r="V17" i="5" s="1"/>
  <c r="U24" i="5" l="1"/>
  <c r="V24" i="5" s="1"/>
  <c r="O29" i="5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S25" i="5"/>
  <c r="S18" i="5" l="1"/>
  <c r="O44" i="5"/>
  <c r="O45" i="5" s="1"/>
  <c r="O46" i="5" s="1"/>
  <c r="O47" i="5" s="1"/>
  <c r="O48" i="5" s="1"/>
  <c r="O49" i="5" s="1"/>
  <c r="H3" i="5" s="1"/>
  <c r="H4" i="5" s="1"/>
  <c r="H5" i="5" s="1"/>
  <c r="H6" i="5" s="1"/>
  <c r="H7" i="5" s="1"/>
  <c r="H8" i="5" s="1"/>
  <c r="H9" i="5" s="1"/>
  <c r="H10" i="5" l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U18" i="5"/>
  <c r="V18" i="5" s="1"/>
  <c r="U25" i="5" l="1"/>
  <c r="V25" i="5" s="1"/>
  <c r="S26" i="5"/>
  <c r="H25" i="5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S19" i="5" l="1"/>
  <c r="H44" i="5"/>
  <c r="H45" i="5" s="1"/>
  <c r="H46" i="5" s="1"/>
  <c r="H48" i="5" s="1"/>
  <c r="H49" i="5" s="1"/>
  <c r="Q3" i="5" s="1"/>
  <c r="Q4" i="5" s="1"/>
  <c r="Q5" i="5" s="1"/>
  <c r="Q6" i="5" s="1"/>
  <c r="Q7" i="5" s="1"/>
  <c r="Q8" i="5" s="1"/>
  <c r="Q9" i="5" s="1"/>
  <c r="Q10" i="5" l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U19" i="5"/>
  <c r="V19" i="5" s="1"/>
  <c r="Q29" i="5" l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U26" i="5"/>
  <c r="V26" i="5" s="1"/>
</calcChain>
</file>

<file path=xl/sharedStrings.xml><?xml version="1.0" encoding="utf-8"?>
<sst xmlns="http://schemas.openxmlformats.org/spreadsheetml/2006/main" count="247" uniqueCount="63">
  <si>
    <t>築城駅</t>
    <rPh sb="0" eb="3">
      <t>ツイキエキ</t>
    </rPh>
    <phoneticPr fontId="3"/>
  </si>
  <si>
    <t>八津田</t>
    <rPh sb="0" eb="1">
      <t>ハチ</t>
    </rPh>
    <rPh sb="1" eb="2">
      <t>ツ</t>
    </rPh>
    <rPh sb="2" eb="3">
      <t>タ</t>
    </rPh>
    <phoneticPr fontId="3"/>
  </si>
  <si>
    <t>→</t>
    <phoneticPr fontId="3"/>
  </si>
  <si>
    <t>ルミエール前</t>
    <phoneticPr fontId="3"/>
  </si>
  <si>
    <t>高塚</t>
    <rPh sb="0" eb="2">
      <t>タカツカ</t>
    </rPh>
    <phoneticPr fontId="3"/>
  </si>
  <si>
    <t>築上町役場</t>
    <rPh sb="0" eb="3">
      <t>チクジョウマチ</t>
    </rPh>
    <rPh sb="3" eb="5">
      <t>ヤクバ</t>
    </rPh>
    <phoneticPr fontId="3"/>
  </si>
  <si>
    <t>→</t>
  </si>
  <si>
    <t>自愛の家</t>
    <rPh sb="0" eb="2">
      <t>ジアイ</t>
    </rPh>
    <rPh sb="3" eb="4">
      <t>イエ</t>
    </rPh>
    <phoneticPr fontId="3"/>
  </si>
  <si>
    <t>昼休み</t>
    <rPh sb="0" eb="2">
      <t>ヒルヤス</t>
    </rPh>
    <phoneticPr fontId="3"/>
  </si>
  <si>
    <t>椎田駅</t>
    <rPh sb="0" eb="2">
      <t>シイダ</t>
    </rPh>
    <rPh sb="2" eb="3">
      <t>エキ</t>
    </rPh>
    <phoneticPr fontId="3"/>
  </si>
  <si>
    <t>椎田交番</t>
    <rPh sb="0" eb="2">
      <t>シイダ</t>
    </rPh>
    <rPh sb="2" eb="4">
      <t>コウバン</t>
    </rPh>
    <phoneticPr fontId="3"/>
  </si>
  <si>
    <t>1便</t>
    <rPh sb="1" eb="2">
      <t>ビン</t>
    </rPh>
    <phoneticPr fontId="3"/>
  </si>
  <si>
    <t>3便</t>
    <rPh sb="1" eb="2">
      <t>ビン</t>
    </rPh>
    <phoneticPr fontId="3"/>
  </si>
  <si>
    <t>5便</t>
    <rPh sb="1" eb="2">
      <t>ビン</t>
    </rPh>
    <phoneticPr fontId="3"/>
  </si>
  <si>
    <t>2便</t>
    <rPh sb="1" eb="2">
      <t>ビン</t>
    </rPh>
    <phoneticPr fontId="3"/>
  </si>
  <si>
    <t>4便</t>
    <rPh sb="1" eb="2">
      <t>ビン</t>
    </rPh>
    <phoneticPr fontId="3"/>
  </si>
  <si>
    <t>6便</t>
    <rPh sb="1" eb="2">
      <t>ビン</t>
    </rPh>
    <phoneticPr fontId="3"/>
  </si>
  <si>
    <t>京築恵みの郷</t>
    <phoneticPr fontId="3"/>
  </si>
  <si>
    <t>京築恵みの郷</t>
    <rPh sb="0" eb="2">
      <t>ケイチク</t>
    </rPh>
    <rPh sb="2" eb="3">
      <t>メグ</t>
    </rPh>
    <rPh sb="5" eb="6">
      <t>サト</t>
    </rPh>
    <phoneticPr fontId="3"/>
  </si>
  <si>
    <t>田舎台</t>
    <rPh sb="0" eb="3">
      <t>イナカダイ</t>
    </rPh>
    <phoneticPr fontId="3"/>
  </si>
  <si>
    <t>ソピア前</t>
    <rPh sb="3" eb="4">
      <t>マエ</t>
    </rPh>
    <phoneticPr fontId="3"/>
  </si>
  <si>
    <t>ルミ</t>
    <phoneticPr fontId="3"/>
  </si>
  <si>
    <t>本町四辻</t>
    <rPh sb="0" eb="2">
      <t>ホンチョウ</t>
    </rPh>
    <rPh sb="2" eb="4">
      <t>ヨツジ</t>
    </rPh>
    <phoneticPr fontId="3"/>
  </si>
  <si>
    <t>降りる</t>
    <rPh sb="0" eb="1">
      <t>オ</t>
    </rPh>
    <phoneticPr fontId="3"/>
  </si>
  <si>
    <t>乗る</t>
    <rPh sb="0" eb="1">
      <t>ノ</t>
    </rPh>
    <phoneticPr fontId="3"/>
  </si>
  <si>
    <t>買物時間</t>
    <rPh sb="0" eb="2">
      <t>カイモノ</t>
    </rPh>
    <rPh sb="2" eb="4">
      <t>ジカン</t>
    </rPh>
    <phoneticPr fontId="3"/>
  </si>
  <si>
    <t>南別府</t>
    <rPh sb="0" eb="1">
      <t>ミナミ</t>
    </rPh>
    <rPh sb="1" eb="3">
      <t>ベフ</t>
    </rPh>
    <phoneticPr fontId="3"/>
  </si>
  <si>
    <t>上別府交差点</t>
    <rPh sb="0" eb="3">
      <t>ウエベフ</t>
    </rPh>
    <rPh sb="3" eb="6">
      <t>コウサテン</t>
    </rPh>
    <phoneticPr fontId="3"/>
  </si>
  <si>
    <t>比久尼原</t>
    <rPh sb="0" eb="1">
      <t>ヒ</t>
    </rPh>
    <rPh sb="1" eb="2">
      <t>キュウ</t>
    </rPh>
    <rPh sb="2" eb="3">
      <t>アマ</t>
    </rPh>
    <rPh sb="3" eb="4">
      <t>ハラ</t>
    </rPh>
    <phoneticPr fontId="3"/>
  </si>
  <si>
    <t>×</t>
    <phoneticPr fontId="3"/>
  </si>
  <si>
    <t>正連寺</t>
    <rPh sb="0" eb="3">
      <t>ショウレンジ</t>
    </rPh>
    <phoneticPr fontId="3"/>
  </si>
  <si>
    <t>安武下方</t>
    <rPh sb="0" eb="4">
      <t>ヤスタケシモカタ</t>
    </rPh>
    <phoneticPr fontId="3"/>
  </si>
  <si>
    <t>メタセの杜</t>
    <rPh sb="4" eb="5">
      <t>モリ</t>
    </rPh>
    <phoneticPr fontId="3"/>
  </si>
  <si>
    <t>赤幡</t>
    <rPh sb="0" eb="2">
      <t>アカハタ</t>
    </rPh>
    <phoneticPr fontId="3"/>
  </si>
  <si>
    <t>弓の師</t>
    <rPh sb="0" eb="1">
      <t>ユミ</t>
    </rPh>
    <rPh sb="2" eb="3">
      <t>シ</t>
    </rPh>
    <phoneticPr fontId="3"/>
  </si>
  <si>
    <t>広末</t>
    <rPh sb="0" eb="2">
      <t>ヒロスエ</t>
    </rPh>
    <phoneticPr fontId="3"/>
  </si>
  <si>
    <t>築城グラウンド</t>
    <rPh sb="0" eb="2">
      <t>ツイキ</t>
    </rPh>
    <phoneticPr fontId="3"/>
  </si>
  <si>
    <t>旧小山田小学校</t>
    <rPh sb="0" eb="1">
      <t>キュウ</t>
    </rPh>
    <rPh sb="1" eb="4">
      <t>オヤマダ</t>
    </rPh>
    <rPh sb="4" eb="7">
      <t>ショウガッコウ</t>
    </rPh>
    <phoneticPr fontId="3"/>
  </si>
  <si>
    <t>広域農道入口</t>
    <rPh sb="0" eb="2">
      <t>コウイキ</t>
    </rPh>
    <rPh sb="2" eb="4">
      <t>ノウドウ</t>
    </rPh>
    <rPh sb="4" eb="5">
      <t>イ</t>
    </rPh>
    <rPh sb="5" eb="6">
      <t>グチ</t>
    </rPh>
    <phoneticPr fontId="3"/>
  </si>
  <si>
    <t>柳渡橋</t>
    <rPh sb="0" eb="1">
      <t>ヤナギ</t>
    </rPh>
    <rPh sb="1" eb="2">
      <t>ワタリ</t>
    </rPh>
    <rPh sb="2" eb="3">
      <t>ハシ</t>
    </rPh>
    <phoneticPr fontId="3"/>
  </si>
  <si>
    <t>安武寺門</t>
    <rPh sb="0" eb="2">
      <t>ヤスタケ</t>
    </rPh>
    <rPh sb="2" eb="4">
      <t>テラカド</t>
    </rPh>
    <phoneticPr fontId="3"/>
  </si>
  <si>
    <t>安武下方</t>
    <rPh sb="0" eb="2">
      <t>ヤスタケ</t>
    </rPh>
    <rPh sb="2" eb="4">
      <t>シモカタ</t>
    </rPh>
    <phoneticPr fontId="3"/>
  </si>
  <si>
    <t>深野</t>
    <rPh sb="0" eb="2">
      <t>フカノ</t>
    </rPh>
    <phoneticPr fontId="3"/>
  </si>
  <si>
    <t>安武</t>
    <rPh sb="0" eb="2">
      <t>ヤスタケ</t>
    </rPh>
    <phoneticPr fontId="3"/>
  </si>
  <si>
    <t>前川原橋</t>
    <rPh sb="0" eb="1">
      <t>マエ</t>
    </rPh>
    <rPh sb="1" eb="3">
      <t>カワハラ</t>
    </rPh>
    <rPh sb="3" eb="4">
      <t>ハシ</t>
    </rPh>
    <phoneticPr fontId="3"/>
  </si>
  <si>
    <t>袈裟丸</t>
    <rPh sb="0" eb="2">
      <t>ケサ</t>
    </rPh>
    <rPh sb="2" eb="3">
      <t>マル</t>
    </rPh>
    <phoneticPr fontId="3"/>
  </si>
  <si>
    <t>川原</t>
    <rPh sb="0" eb="2">
      <t>カワハラ</t>
    </rPh>
    <phoneticPr fontId="3"/>
  </si>
  <si>
    <t>船迫</t>
    <rPh sb="0" eb="2">
      <t>フナサコ</t>
    </rPh>
    <phoneticPr fontId="3"/>
  </si>
  <si>
    <t>第1便</t>
    <rPh sb="0" eb="1">
      <t>ダイ</t>
    </rPh>
    <rPh sb="2" eb="3">
      <t>ビン</t>
    </rPh>
    <phoneticPr fontId="3"/>
  </si>
  <si>
    <t>第2便</t>
    <rPh sb="0" eb="1">
      <t>ダイ</t>
    </rPh>
    <rPh sb="2" eb="3">
      <t>ビン</t>
    </rPh>
    <phoneticPr fontId="3"/>
  </si>
  <si>
    <t>第3便</t>
    <rPh sb="0" eb="1">
      <t>ダイ</t>
    </rPh>
    <rPh sb="2" eb="3">
      <t>ビン</t>
    </rPh>
    <phoneticPr fontId="3"/>
  </si>
  <si>
    <t>右回り</t>
    <rPh sb="0" eb="1">
      <t>ミギ</t>
    </rPh>
    <rPh sb="1" eb="2">
      <t>マワ</t>
    </rPh>
    <phoneticPr fontId="3"/>
  </si>
  <si>
    <t>左回り</t>
    <rPh sb="0" eb="1">
      <t>ヒダリ</t>
    </rPh>
    <rPh sb="1" eb="2">
      <t>マワ</t>
    </rPh>
    <phoneticPr fontId="3"/>
  </si>
  <si>
    <t>休憩時間（現行）</t>
    <rPh sb="0" eb="2">
      <t>キュウケイ</t>
    </rPh>
    <rPh sb="2" eb="4">
      <t>ジカン</t>
    </rPh>
    <rPh sb="5" eb="7">
      <t>ゲンコウ</t>
    </rPh>
    <phoneticPr fontId="3"/>
  </si>
  <si>
    <t>築城小学校</t>
    <rPh sb="0" eb="2">
      <t>ツイキ</t>
    </rPh>
    <rPh sb="2" eb="5">
      <t>ショウガッコウ</t>
    </rPh>
    <phoneticPr fontId="3"/>
  </si>
  <si>
    <t>片山医院（安武）</t>
    <rPh sb="0" eb="2">
      <t>カタヤマ</t>
    </rPh>
    <rPh sb="2" eb="4">
      <t>イイン</t>
    </rPh>
    <rPh sb="5" eb="7">
      <t>ヤスタケ</t>
    </rPh>
    <phoneticPr fontId="3"/>
  </si>
  <si>
    <t>築上町図書館</t>
    <rPh sb="0" eb="3">
      <t>チクジョウマチ</t>
    </rPh>
    <rPh sb="3" eb="6">
      <t>トショカン</t>
    </rPh>
    <phoneticPr fontId="3"/>
  </si>
  <si>
    <t>※降車
　専用</t>
    <rPh sb="1" eb="3">
      <t>コウシャ</t>
    </rPh>
    <rPh sb="5" eb="7">
      <t>センヨウ</t>
    </rPh>
    <phoneticPr fontId="3"/>
  </si>
  <si>
    <t>築上町図書館</t>
    <rPh sb="0" eb="6">
      <t>チクジョウマチトショカン</t>
    </rPh>
    <phoneticPr fontId="3"/>
  </si>
  <si>
    <t>京築恵みの郷</t>
  </si>
  <si>
    <t>ルミエール前</t>
  </si>
  <si>
    <t>右回り</t>
    <rPh sb="0" eb="2">
      <t>ミギマワ</t>
    </rPh>
    <phoneticPr fontId="3"/>
  </si>
  <si>
    <t>※降車専用</t>
    <rPh sb="1" eb="3">
      <t>コウシャ</t>
    </rPh>
    <rPh sb="3" eb="5">
      <t>センヨウ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</si>
</sst>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20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8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name val="HGP創英角ｺﾞｼｯｸUB"/>
      <family val="3"/>
      <charset val="128"/>
    </font>
    <font>
      <sz val="12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</font>
    <font>
      <b/>
      <sz val="12"/>
      <color rgb="FFFF0000"/>
      <name val="游ゴシック"/>
      <family val="3"/>
      <charset val="128"/>
      <scheme val="minor"/>
    </font>
    <font>
      <sz val="12"/>
      <color rgb="FFFF0000"/>
      <name val="HGP創英角ｺﾞｼｯｸUB"/>
      <family val="3"/>
      <charset val="128"/>
    </font>
    <font>
      <sz val="11"/>
      <color rgb="FFFF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66CC"/>
      </left>
      <right/>
      <top style="thick">
        <color rgb="FFFF66CC"/>
      </top>
      <bottom style="thin">
        <color indexed="64"/>
      </bottom>
      <diagonal/>
    </border>
    <border>
      <left/>
      <right style="thin">
        <color indexed="64"/>
      </right>
      <top style="thick">
        <color rgb="FFFF66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66CC"/>
      </top>
      <bottom style="thin">
        <color indexed="64"/>
      </bottom>
      <diagonal/>
    </border>
    <border>
      <left style="thin">
        <color indexed="64"/>
      </left>
      <right style="thick">
        <color rgb="FFFF66CC"/>
      </right>
      <top style="thick">
        <color rgb="FFFF66CC"/>
      </top>
      <bottom style="thin">
        <color indexed="64"/>
      </bottom>
      <diagonal/>
    </border>
    <border>
      <left style="thick">
        <color rgb="FFFF66CC"/>
      </left>
      <right/>
      <top/>
      <bottom/>
      <diagonal/>
    </border>
    <border>
      <left style="thin">
        <color indexed="64"/>
      </left>
      <right style="thick">
        <color rgb="FFFF66CC"/>
      </right>
      <top/>
      <bottom/>
      <diagonal/>
    </border>
    <border>
      <left style="thick">
        <color rgb="FFFF66CC"/>
      </left>
      <right/>
      <top style="thick">
        <color rgb="FFFF66CC"/>
      </top>
      <bottom style="thick">
        <color rgb="FFFF66CC"/>
      </bottom>
      <diagonal/>
    </border>
    <border>
      <left/>
      <right style="thick">
        <color rgb="FFFF66CC"/>
      </right>
      <top style="thick">
        <color rgb="FFFF66CC"/>
      </top>
      <bottom style="thick">
        <color rgb="FFFF66C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NumberFormat="1" applyFont="1">
      <alignment vertical="center"/>
    </xf>
    <xf numFmtId="0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 applyBorder="1" applyAlignment="1">
      <alignment horizontal="center" vertical="center" shrinkToFit="1"/>
    </xf>
    <xf numFmtId="0" fontId="4" fillId="0" borderId="0" xfId="0" applyNumberFormat="1" applyFont="1" applyFill="1" applyBorder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2" fillId="0" borderId="0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10" fillId="0" borderId="0" xfId="0" applyFo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20" fontId="9" fillId="3" borderId="0" xfId="0" applyNumberFormat="1" applyFont="1" applyFill="1" applyBorder="1" applyAlignment="1">
      <alignment vertical="center"/>
    </xf>
    <xf numFmtId="20" fontId="9" fillId="0" borderId="0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0" fontId="2" fillId="0" borderId="6" xfId="0" applyNumberFormat="1" applyFont="1" applyBorder="1">
      <alignment vertical="center"/>
    </xf>
    <xf numFmtId="0" fontId="2" fillId="0" borderId="7" xfId="0" applyFont="1" applyBorder="1">
      <alignment vertical="center"/>
    </xf>
    <xf numFmtId="20" fontId="2" fillId="0" borderId="8" xfId="0" applyNumberFormat="1" applyFont="1" applyBorder="1">
      <alignment vertical="center"/>
    </xf>
    <xf numFmtId="20" fontId="2" fillId="0" borderId="1" xfId="0" applyNumberFormat="1" applyFont="1" applyBorder="1">
      <alignment vertical="center"/>
    </xf>
    <xf numFmtId="20" fontId="2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20" fontId="12" fillId="0" borderId="9" xfId="0" applyNumberFormat="1" applyFont="1" applyBorder="1" applyAlignment="1">
      <alignment horizontal="center" vertical="center"/>
    </xf>
    <xf numFmtId="0" fontId="12" fillId="0" borderId="9" xfId="0" applyNumberFormat="1" applyFont="1" applyFill="1" applyBorder="1" applyAlignment="1">
      <alignment horizontal="center" vertical="center"/>
    </xf>
    <xf numFmtId="0" fontId="12" fillId="4" borderId="9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20" fontId="12" fillId="8" borderId="9" xfId="0" applyNumberFormat="1" applyFont="1" applyFill="1" applyBorder="1" applyAlignment="1">
      <alignment horizontal="center" vertical="center"/>
    </xf>
    <xf numFmtId="0" fontId="12" fillId="8" borderId="9" xfId="0" applyNumberFormat="1" applyFont="1" applyFill="1" applyBorder="1" applyAlignment="1">
      <alignment horizontal="center" vertical="center"/>
    </xf>
    <xf numFmtId="20" fontId="14" fillId="2" borderId="9" xfId="0" applyNumberFormat="1" applyFont="1" applyFill="1" applyBorder="1" applyAlignment="1">
      <alignment horizontal="center" vertical="center"/>
    </xf>
    <xf numFmtId="20" fontId="12" fillId="2" borderId="9" xfId="0" applyNumberFormat="1" applyFont="1" applyFill="1" applyBorder="1" applyAlignment="1">
      <alignment horizontal="center" vertical="center"/>
    </xf>
    <xf numFmtId="20" fontId="13" fillId="0" borderId="9" xfId="0" applyNumberFormat="1" applyFont="1" applyBorder="1" applyAlignment="1">
      <alignment horizontal="center" vertical="center"/>
    </xf>
    <xf numFmtId="0" fontId="7" fillId="2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20" fontId="14" fillId="2" borderId="16" xfId="0" applyNumberFormat="1" applyFont="1" applyFill="1" applyBorder="1" applyAlignment="1">
      <alignment horizontal="center" vertical="center"/>
    </xf>
    <xf numFmtId="0" fontId="12" fillId="4" borderId="19" xfId="0" applyNumberFormat="1" applyFont="1" applyFill="1" applyBorder="1" applyAlignment="1">
      <alignment horizontal="center" vertical="center"/>
    </xf>
    <xf numFmtId="20" fontId="12" fillId="2" borderId="19" xfId="0" applyNumberFormat="1" applyFont="1" applyFill="1" applyBorder="1" applyAlignment="1">
      <alignment horizontal="center" vertical="center"/>
    </xf>
    <xf numFmtId="20" fontId="15" fillId="0" borderId="19" xfId="0" applyNumberFormat="1" applyFont="1" applyFill="1" applyBorder="1" applyAlignment="1">
      <alignment horizontal="center" vertical="center"/>
    </xf>
    <xf numFmtId="20" fontId="13" fillId="0" borderId="20" xfId="0" applyNumberFormat="1" applyFont="1" applyFill="1" applyBorder="1" applyAlignment="1">
      <alignment horizontal="center" vertical="center"/>
    </xf>
    <xf numFmtId="20" fontId="15" fillId="8" borderId="9" xfId="0" applyNumberFormat="1" applyFont="1" applyFill="1" applyBorder="1" applyAlignment="1">
      <alignment horizontal="center" vertical="center"/>
    </xf>
    <xf numFmtId="20" fontId="13" fillId="8" borderId="16" xfId="0" applyNumberFormat="1" applyFont="1" applyFill="1" applyBorder="1" applyAlignment="1">
      <alignment horizontal="center" vertical="center"/>
    </xf>
    <xf numFmtId="20" fontId="15" fillId="0" borderId="9" xfId="0" applyNumberFormat="1" applyFont="1" applyFill="1" applyBorder="1" applyAlignment="1">
      <alignment horizontal="center" vertical="center"/>
    </xf>
    <xf numFmtId="20" fontId="13" fillId="0" borderId="16" xfId="0" applyNumberFormat="1" applyFont="1" applyFill="1" applyBorder="1" applyAlignment="1">
      <alignment horizontal="center" vertical="center"/>
    </xf>
    <xf numFmtId="0" fontId="15" fillId="3" borderId="19" xfId="0" applyNumberFormat="1" applyFont="1" applyFill="1" applyBorder="1" applyAlignment="1">
      <alignment horizontal="center" vertical="center"/>
    </xf>
    <xf numFmtId="20" fontId="15" fillId="0" borderId="20" xfId="0" applyNumberFormat="1" applyFont="1" applyFill="1" applyBorder="1" applyAlignment="1">
      <alignment horizontal="center" vertical="center"/>
    </xf>
    <xf numFmtId="0" fontId="13" fillId="8" borderId="9" xfId="0" applyNumberFormat="1" applyFont="1" applyFill="1" applyBorder="1" applyAlignment="1">
      <alignment horizontal="center" vertical="center"/>
    </xf>
    <xf numFmtId="20" fontId="15" fillId="8" borderId="16" xfId="0" applyNumberFormat="1" applyFont="1" applyFill="1" applyBorder="1" applyAlignment="1">
      <alignment horizontal="center" vertical="center"/>
    </xf>
    <xf numFmtId="0" fontId="13" fillId="0" borderId="9" xfId="0" applyNumberFormat="1" applyFont="1" applyFill="1" applyBorder="1" applyAlignment="1">
      <alignment horizontal="center" vertical="center"/>
    </xf>
    <xf numFmtId="20" fontId="15" fillId="0" borderId="9" xfId="0" applyNumberFormat="1" applyFont="1" applyBorder="1" applyAlignment="1">
      <alignment horizontal="center" vertical="center"/>
    </xf>
    <xf numFmtId="20" fontId="15" fillId="0" borderId="16" xfId="0" applyNumberFormat="1" applyFont="1" applyFill="1" applyBorder="1" applyAlignment="1">
      <alignment horizontal="center" vertical="center"/>
    </xf>
    <xf numFmtId="0" fontId="13" fillId="4" borderId="9" xfId="0" applyNumberFormat="1" applyFont="1" applyFill="1" applyBorder="1" applyAlignment="1">
      <alignment horizontal="center" vertical="center"/>
    </xf>
    <xf numFmtId="20" fontId="13" fillId="2" borderId="9" xfId="0" applyNumberFormat="1" applyFont="1" applyFill="1" applyBorder="1" applyAlignment="1">
      <alignment horizontal="center" vertical="center"/>
    </xf>
    <xf numFmtId="0" fontId="15" fillId="3" borderId="9" xfId="0" applyNumberFormat="1" applyFont="1" applyFill="1" applyBorder="1" applyAlignment="1">
      <alignment horizontal="center" vertical="center"/>
    </xf>
    <xf numFmtId="20" fontId="13" fillId="8" borderId="9" xfId="0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20" fontId="12" fillId="0" borderId="19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0" fontId="13" fillId="0" borderId="19" xfId="0" applyNumberFormat="1" applyFont="1" applyFill="1" applyBorder="1" applyAlignment="1">
      <alignment horizontal="center" vertical="center"/>
    </xf>
    <xf numFmtId="20" fontId="16" fillId="0" borderId="1" xfId="0" applyNumberFormat="1" applyFont="1" applyBorder="1" applyAlignment="1">
      <alignment vertical="center"/>
    </xf>
    <xf numFmtId="20" fontId="16" fillId="0" borderId="1" xfId="0" applyNumberFormat="1" applyFont="1" applyFill="1" applyBorder="1" applyAlignment="1">
      <alignment vertical="center"/>
    </xf>
    <xf numFmtId="20" fontId="15" fillId="8" borderId="5" xfId="0" applyNumberFormat="1" applyFont="1" applyFill="1" applyBorder="1" applyAlignment="1">
      <alignment horizontal="center" vertical="center"/>
    </xf>
    <xf numFmtId="0" fontId="15" fillId="3" borderId="25" xfId="0" applyNumberFormat="1" applyFont="1" applyFill="1" applyBorder="1" applyAlignment="1">
      <alignment horizontal="center" vertical="center"/>
    </xf>
    <xf numFmtId="20" fontId="15" fillId="0" borderId="26" xfId="0" applyNumberFormat="1" applyFont="1" applyFill="1" applyBorder="1" applyAlignment="1">
      <alignment horizontal="center" vertical="center"/>
    </xf>
    <xf numFmtId="0" fontId="15" fillId="8" borderId="25" xfId="0" applyNumberFormat="1" applyFont="1" applyFill="1" applyBorder="1" applyAlignment="1">
      <alignment horizontal="center" vertical="center"/>
    </xf>
    <xf numFmtId="20" fontId="15" fillId="8" borderId="27" xfId="0" applyNumberFormat="1" applyFont="1" applyFill="1" applyBorder="1" applyAlignment="1">
      <alignment horizontal="center" vertical="center"/>
    </xf>
    <xf numFmtId="0" fontId="15" fillId="8" borderId="9" xfId="0" applyNumberFormat="1" applyFont="1" applyFill="1" applyBorder="1" applyAlignment="1">
      <alignment horizontal="center" vertical="center"/>
    </xf>
    <xf numFmtId="0" fontId="15" fillId="4" borderId="5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15" fillId="4" borderId="9" xfId="0" applyNumberFormat="1" applyFont="1" applyFill="1" applyBorder="1" applyAlignment="1">
      <alignment horizontal="center" vertical="center"/>
    </xf>
    <xf numFmtId="20" fontId="18" fillId="2" borderId="16" xfId="0" applyNumberFormat="1" applyFont="1" applyFill="1" applyBorder="1" applyAlignment="1">
      <alignment horizontal="center" vertical="center"/>
    </xf>
    <xf numFmtId="0" fontId="15" fillId="0" borderId="19" xfId="0" applyNumberFormat="1" applyFont="1" applyFill="1" applyBorder="1" applyAlignment="1">
      <alignment horizontal="center" vertical="center"/>
    </xf>
    <xf numFmtId="0" fontId="15" fillId="4" borderId="19" xfId="0" applyNumberFormat="1" applyFont="1" applyFill="1" applyBorder="1" applyAlignment="1">
      <alignment horizontal="center" vertical="center"/>
    </xf>
    <xf numFmtId="20" fontId="18" fillId="2" borderId="2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10" xfId="0" applyFont="1" applyFill="1" applyBorder="1" applyAlignment="1">
      <alignment horizontal="center" vertical="center" shrinkToFit="1"/>
    </xf>
    <xf numFmtId="0" fontId="7" fillId="5" borderId="0" xfId="0" applyFont="1" applyFill="1" applyAlignment="1">
      <alignment horizontal="center" vertical="center"/>
    </xf>
    <xf numFmtId="20" fontId="17" fillId="3" borderId="28" xfId="0" applyNumberFormat="1" applyFont="1" applyFill="1" applyBorder="1" applyAlignment="1">
      <alignment horizontal="left" vertical="center" wrapText="1"/>
    </xf>
    <xf numFmtId="20" fontId="17" fillId="3" borderId="29" xfId="0" applyNumberFormat="1" applyFont="1" applyFill="1" applyBorder="1" applyAlignment="1">
      <alignment horizontal="left" vertical="center" wrapText="1"/>
    </xf>
    <xf numFmtId="0" fontId="13" fillId="0" borderId="15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2" fillId="8" borderId="15" xfId="0" applyFont="1" applyFill="1" applyBorder="1" applyAlignment="1">
      <alignment horizontal="center" vertical="center" shrinkToFit="1"/>
    </xf>
    <xf numFmtId="0" fontId="12" fillId="8" borderId="10" xfId="0" applyFont="1" applyFill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13" fillId="8" borderId="15" xfId="0" applyFont="1" applyFill="1" applyBorder="1" applyAlignment="1">
      <alignment horizontal="center" vertical="center" shrinkToFit="1"/>
    </xf>
    <xf numFmtId="0" fontId="13" fillId="8" borderId="10" xfId="0" applyFont="1" applyFill="1" applyBorder="1" applyAlignment="1">
      <alignment horizontal="center" vertical="center" shrinkToFit="1"/>
    </xf>
    <xf numFmtId="0" fontId="13" fillId="0" borderId="21" xfId="0" applyFont="1" applyFill="1" applyBorder="1" applyAlignment="1">
      <alignment horizontal="center" vertical="center" shrinkToFit="1"/>
    </xf>
    <xf numFmtId="0" fontId="13" fillId="0" borderId="22" xfId="0" applyFont="1" applyFill="1" applyBorder="1" applyAlignment="1">
      <alignment horizontal="center" vertical="center" shrinkToFit="1"/>
    </xf>
    <xf numFmtId="0" fontId="17" fillId="8" borderId="23" xfId="0" applyFont="1" applyFill="1" applyBorder="1" applyAlignment="1">
      <alignment horizontal="center" vertical="center" shrinkToFit="1"/>
    </xf>
    <xf numFmtId="0" fontId="17" fillId="8" borderId="24" xfId="0" applyFont="1" applyFill="1" applyBorder="1" applyAlignment="1">
      <alignment horizontal="center" vertical="center" shrinkToFit="1"/>
    </xf>
    <xf numFmtId="0" fontId="12" fillId="0" borderId="21" xfId="0" applyFont="1" applyFill="1" applyBorder="1" applyAlignment="1">
      <alignment horizontal="center" vertical="center" shrinkToFit="1"/>
    </xf>
    <xf numFmtId="0" fontId="12" fillId="0" borderId="22" xfId="0" applyFont="1" applyFill="1" applyBorder="1" applyAlignment="1">
      <alignment horizontal="center" vertical="center" shrinkToFit="1"/>
    </xf>
    <xf numFmtId="0" fontId="12" fillId="0" borderId="15" xfId="0" applyFont="1" applyFill="1" applyBorder="1" applyAlignment="1">
      <alignment horizontal="center" vertical="center" shrinkToFit="1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176" fontId="0" fillId="9" borderId="0" xfId="0" applyNumberFormat="1" applyFill="1">
      <alignment vertical="center"/>
    </xf>
    <xf numFmtId="176" fontId="0" fillId="0" borderId="0" xfId="0" applyNumberFormat="1" applyAlignment="1">
      <alignment vertical="center"/>
    </xf>
    <xf numFmtId="176" fontId="19" fillId="0" borderId="0" xfId="0" applyNumberFormat="1" applyFont="1">
      <alignment vertical="center"/>
    </xf>
    <xf numFmtId="176" fontId="19" fillId="9" borderId="0" xfId="0" applyNumberFormat="1" applyFont="1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EAD5FF"/>
      <color rgb="FFE0C1FF"/>
      <color rgb="FFDCB9FF"/>
      <color rgb="FFCC99FF"/>
      <color rgb="FFCCCCFF"/>
      <color rgb="FFFFCCFF"/>
      <color rgb="FFFF66CC"/>
      <color rgb="FFF3F3FF"/>
      <color rgb="FFCCFF99"/>
      <color rgb="FFF5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99"/>
    <pageSetUpPr fitToPage="1"/>
  </sheetPr>
  <dimension ref="A1:W50"/>
  <sheetViews>
    <sheetView showGridLines="0" view="pageBreakPreview" zoomScale="82" zoomScaleNormal="73" zoomScaleSheetLayoutView="82" workbookViewId="0">
      <selection activeCell="S37" sqref="S37"/>
    </sheetView>
  </sheetViews>
  <sheetFormatPr defaultRowHeight="18.75" outlineLevelCol="1" x14ac:dyDescent="0.15"/>
  <cols>
    <col min="1" max="1" width="11.25" style="1" customWidth="1"/>
    <col min="2" max="2" width="7.5" style="1" customWidth="1"/>
    <col min="3" max="3" width="3.125" style="2" hidden="1" customWidth="1" outlineLevel="1"/>
    <col min="4" max="4" width="8.125" style="12" customWidth="1" collapsed="1"/>
    <col min="5" max="5" width="3.125" style="34" hidden="1" customWidth="1" outlineLevel="1"/>
    <col min="6" max="6" width="8.125" style="12" customWidth="1" collapsed="1"/>
    <col min="7" max="7" width="3.125" style="35" hidden="1" customWidth="1" outlineLevel="1"/>
    <col min="8" max="8" width="8.125" style="12" customWidth="1" collapsed="1"/>
    <col min="9" max="9" width="5" style="1" customWidth="1"/>
    <col min="10" max="10" width="11.25" style="1" customWidth="1"/>
    <col min="11" max="11" width="7.5" style="1" customWidth="1"/>
    <col min="12" max="12" width="3.125" style="3" hidden="1" customWidth="1" outlineLevel="1"/>
    <col min="13" max="13" width="8.125" style="12" customWidth="1" collapsed="1"/>
    <col min="14" max="14" width="3.125" style="35" hidden="1" customWidth="1" outlineLevel="1"/>
    <col min="15" max="15" width="8.125" style="12" customWidth="1" collapsed="1"/>
    <col min="16" max="16" width="3.125" style="35" hidden="1" customWidth="1" outlineLevel="1"/>
    <col min="17" max="17" width="8.125" style="12" customWidth="1" collapsed="1"/>
    <col min="18" max="18" width="5.875" style="1" customWidth="1"/>
    <col min="19" max="19" width="6.75" style="1" customWidth="1"/>
    <col min="20" max="20" width="4.25" style="1" customWidth="1"/>
    <col min="21" max="21" width="6.75" style="1" customWidth="1"/>
    <col min="22" max="16384" width="9" style="1"/>
  </cols>
  <sheetData>
    <row r="1" spans="1:23" ht="22.5" customHeight="1" thickTop="1" thickBot="1" x14ac:dyDescent="0.2">
      <c r="A1" s="110" t="s">
        <v>52</v>
      </c>
      <c r="B1" s="111"/>
      <c r="C1" s="39"/>
      <c r="D1" s="39"/>
      <c r="E1" s="39"/>
      <c r="F1" s="39"/>
      <c r="G1" s="39"/>
      <c r="H1" s="39"/>
      <c r="I1" s="13"/>
      <c r="J1" s="110" t="s">
        <v>51</v>
      </c>
      <c r="K1" s="111"/>
      <c r="L1" s="39"/>
      <c r="M1" s="39"/>
      <c r="N1" s="39"/>
      <c r="O1" s="39"/>
      <c r="P1" s="39"/>
      <c r="Q1" s="39"/>
    </row>
    <row r="2" spans="1:23" ht="20.25" customHeight="1" thickTop="1" thickBot="1" x14ac:dyDescent="0.2">
      <c r="A2" s="108"/>
      <c r="B2" s="109"/>
      <c r="C2" s="45"/>
      <c r="D2" s="46" t="s">
        <v>48</v>
      </c>
      <c r="E2" s="46"/>
      <c r="F2" s="46" t="s">
        <v>49</v>
      </c>
      <c r="G2" s="46"/>
      <c r="H2" s="47" t="s">
        <v>50</v>
      </c>
      <c r="I2" s="13"/>
      <c r="J2" s="106"/>
      <c r="K2" s="107"/>
      <c r="L2" s="45"/>
      <c r="M2" s="46" t="s">
        <v>48</v>
      </c>
      <c r="N2" s="46"/>
      <c r="O2" s="46" t="s">
        <v>49</v>
      </c>
      <c r="P2" s="46"/>
      <c r="Q2" s="47" t="s">
        <v>50</v>
      </c>
    </row>
    <row r="3" spans="1:23" ht="18.75" customHeight="1" thickBot="1" x14ac:dyDescent="0.2">
      <c r="A3" s="103" t="s">
        <v>9</v>
      </c>
      <c r="B3" s="104"/>
      <c r="C3" s="49"/>
      <c r="D3" s="50"/>
      <c r="E3" s="49"/>
      <c r="F3" s="51">
        <f>M49+V5</f>
        <v>0.42916666666666642</v>
      </c>
      <c r="G3" s="49"/>
      <c r="H3" s="52">
        <f>O49+V8</f>
        <v>0.60763888888888828</v>
      </c>
      <c r="J3" s="103" t="s">
        <v>9</v>
      </c>
      <c r="K3" s="104"/>
      <c r="L3" s="49"/>
      <c r="M3" s="51">
        <f>D49+V4</f>
        <v>0.35902777777777772</v>
      </c>
      <c r="N3" s="49"/>
      <c r="O3" s="51">
        <f>F49+V7</f>
        <v>0.49999999999999956</v>
      </c>
      <c r="P3" s="49"/>
      <c r="Q3" s="58">
        <f>H49+V10</f>
        <v>0.67291666666666583</v>
      </c>
      <c r="S3" s="112" t="s">
        <v>53</v>
      </c>
      <c r="T3" s="112"/>
      <c r="U3" s="112"/>
      <c r="V3" s="112"/>
    </row>
    <row r="4" spans="1:23" ht="18.75" customHeight="1" x14ac:dyDescent="0.15">
      <c r="A4" s="94" t="s">
        <v>10</v>
      </c>
      <c r="B4" s="95"/>
      <c r="C4" s="38"/>
      <c r="D4" s="43"/>
      <c r="E4" s="41">
        <v>0</v>
      </c>
      <c r="F4" s="53">
        <f t="shared" ref="F4:F49" si="0">F3+TIME(0,E4,0)</f>
        <v>0.42916666666666642</v>
      </c>
      <c r="G4" s="41">
        <v>0</v>
      </c>
      <c r="H4" s="54">
        <f t="shared" ref="H4:H46" si="1">H3+TIME(0,G4,0)</f>
        <v>0.60763888888888828</v>
      </c>
      <c r="J4" s="94" t="s">
        <v>10</v>
      </c>
      <c r="K4" s="95"/>
      <c r="L4" s="41">
        <v>0</v>
      </c>
      <c r="M4" s="53">
        <f t="shared" ref="M4:M49" si="2">M3+TIME(0,L4,0)</f>
        <v>0.35902777777777772</v>
      </c>
      <c r="N4" s="41">
        <v>0</v>
      </c>
      <c r="O4" s="53">
        <f t="shared" ref="O4:O49" si="3">O3+TIME(0,N4,0)</f>
        <v>0.49999999999999956</v>
      </c>
      <c r="P4" s="41">
        <v>0</v>
      </c>
      <c r="Q4" s="63">
        <f t="shared" ref="Q4:Q43" si="4">Q3+TIME(0,P4,0)</f>
        <v>0.67291666666666583</v>
      </c>
      <c r="S4" s="7" t="s">
        <v>11</v>
      </c>
      <c r="T4" s="8" t="s">
        <v>2</v>
      </c>
      <c r="U4" s="9" t="s">
        <v>14</v>
      </c>
      <c r="V4" s="72">
        <v>1.6666666666666666E-2</v>
      </c>
    </row>
    <row r="5" spans="1:23" ht="18.75" customHeight="1" x14ac:dyDescent="0.15">
      <c r="A5" s="105" t="s">
        <v>17</v>
      </c>
      <c r="B5" s="88"/>
      <c r="C5" s="38"/>
      <c r="D5" s="43"/>
      <c r="E5" s="37">
        <v>4</v>
      </c>
      <c r="F5" s="55">
        <f t="shared" si="0"/>
        <v>0.43194444444444419</v>
      </c>
      <c r="G5" s="37">
        <v>4</v>
      </c>
      <c r="H5" s="56">
        <f t="shared" si="1"/>
        <v>0.61041666666666605</v>
      </c>
      <c r="J5" s="105" t="s">
        <v>18</v>
      </c>
      <c r="K5" s="88"/>
      <c r="L5" s="37">
        <v>4</v>
      </c>
      <c r="M5" s="55">
        <f t="shared" si="2"/>
        <v>0.36180555555555549</v>
      </c>
      <c r="N5" s="37">
        <v>4</v>
      </c>
      <c r="O5" s="55">
        <f t="shared" si="3"/>
        <v>0.50277777777777732</v>
      </c>
      <c r="P5" s="37">
        <v>4</v>
      </c>
      <c r="Q5" s="63">
        <f t="shared" si="4"/>
        <v>0.6756944444444436</v>
      </c>
      <c r="S5" s="7" t="s">
        <v>14</v>
      </c>
      <c r="T5" s="8" t="s">
        <v>2</v>
      </c>
      <c r="U5" s="9" t="s">
        <v>12</v>
      </c>
      <c r="V5" s="72">
        <v>1.7361111111111112E-2</v>
      </c>
    </row>
    <row r="6" spans="1:23" ht="18.75" customHeight="1" x14ac:dyDescent="0.15">
      <c r="A6" s="94" t="s">
        <v>7</v>
      </c>
      <c r="B6" s="95"/>
      <c r="C6" s="38"/>
      <c r="D6" s="43"/>
      <c r="E6" s="41">
        <v>2</v>
      </c>
      <c r="F6" s="53">
        <f t="shared" si="0"/>
        <v>0.43333333333333307</v>
      </c>
      <c r="G6" s="41">
        <v>2</v>
      </c>
      <c r="H6" s="54">
        <f t="shared" si="1"/>
        <v>0.61180555555555494</v>
      </c>
      <c r="J6" s="94" t="s">
        <v>7</v>
      </c>
      <c r="K6" s="95"/>
      <c r="L6" s="41">
        <v>2</v>
      </c>
      <c r="M6" s="53">
        <f t="shared" si="2"/>
        <v>0.36319444444444438</v>
      </c>
      <c r="N6" s="41">
        <v>2</v>
      </c>
      <c r="O6" s="53">
        <f t="shared" si="3"/>
        <v>0.50416666666666621</v>
      </c>
      <c r="P6" s="41">
        <v>2</v>
      </c>
      <c r="Q6" s="63">
        <f t="shared" si="4"/>
        <v>0.67708333333333248</v>
      </c>
      <c r="S6" s="7" t="s">
        <v>12</v>
      </c>
      <c r="T6" s="8" t="s">
        <v>2</v>
      </c>
      <c r="U6" s="9" t="s">
        <v>19</v>
      </c>
      <c r="V6" s="72">
        <v>0</v>
      </c>
    </row>
    <row r="7" spans="1:23" ht="18.75" customHeight="1" x14ac:dyDescent="0.15">
      <c r="A7" s="105" t="s">
        <v>5</v>
      </c>
      <c r="B7" s="88"/>
      <c r="C7" s="38"/>
      <c r="D7" s="43"/>
      <c r="E7" s="37">
        <v>2</v>
      </c>
      <c r="F7" s="55">
        <f t="shared" si="0"/>
        <v>0.43472222222222195</v>
      </c>
      <c r="G7" s="37">
        <v>2</v>
      </c>
      <c r="H7" s="56">
        <f t="shared" si="1"/>
        <v>0.61319444444444382</v>
      </c>
      <c r="J7" s="105" t="s">
        <v>5</v>
      </c>
      <c r="K7" s="88"/>
      <c r="L7" s="37">
        <v>2</v>
      </c>
      <c r="M7" s="55">
        <f t="shared" si="2"/>
        <v>0.36458333333333326</v>
      </c>
      <c r="N7" s="37">
        <v>2</v>
      </c>
      <c r="O7" s="55">
        <f t="shared" si="3"/>
        <v>0.50555555555555509</v>
      </c>
      <c r="P7" s="37">
        <v>2</v>
      </c>
      <c r="Q7" s="63">
        <f t="shared" si="4"/>
        <v>0.67847222222222137</v>
      </c>
      <c r="S7" s="7" t="s">
        <v>12</v>
      </c>
      <c r="T7" s="8" t="s">
        <v>6</v>
      </c>
      <c r="U7" s="9" t="s">
        <v>15</v>
      </c>
      <c r="V7" s="72">
        <v>1.7361111111111112E-2</v>
      </c>
      <c r="W7" s="17" t="s">
        <v>8</v>
      </c>
    </row>
    <row r="8" spans="1:23" ht="18.75" customHeight="1" x14ac:dyDescent="0.15">
      <c r="A8" s="94" t="s">
        <v>4</v>
      </c>
      <c r="B8" s="95"/>
      <c r="C8" s="38"/>
      <c r="D8" s="43"/>
      <c r="E8" s="41">
        <v>1</v>
      </c>
      <c r="F8" s="53">
        <f t="shared" si="0"/>
        <v>0.4354166666666664</v>
      </c>
      <c r="G8" s="41">
        <v>1</v>
      </c>
      <c r="H8" s="54">
        <f t="shared" si="1"/>
        <v>0.61388888888888826</v>
      </c>
      <c r="J8" s="94" t="s">
        <v>4</v>
      </c>
      <c r="K8" s="95"/>
      <c r="L8" s="41">
        <v>1</v>
      </c>
      <c r="M8" s="53">
        <f t="shared" si="2"/>
        <v>0.3652777777777777</v>
      </c>
      <c r="N8" s="41">
        <v>1</v>
      </c>
      <c r="O8" s="53">
        <f t="shared" si="3"/>
        <v>0.50624999999999953</v>
      </c>
      <c r="P8" s="41">
        <v>1</v>
      </c>
      <c r="Q8" s="63">
        <f t="shared" si="4"/>
        <v>0.67916666666666581</v>
      </c>
      <c r="S8" s="14" t="s">
        <v>15</v>
      </c>
      <c r="T8" s="15" t="s">
        <v>6</v>
      </c>
      <c r="U8" s="16" t="s">
        <v>13</v>
      </c>
      <c r="V8" s="73">
        <v>5.486111111111111E-2</v>
      </c>
      <c r="W8" s="17"/>
    </row>
    <row r="9" spans="1:23" ht="18.75" customHeight="1" x14ac:dyDescent="0.15">
      <c r="A9" s="105" t="s">
        <v>3</v>
      </c>
      <c r="B9" s="88"/>
      <c r="C9" s="38"/>
      <c r="D9" s="43"/>
      <c r="E9" s="37">
        <v>1</v>
      </c>
      <c r="F9" s="55">
        <f t="shared" si="0"/>
        <v>0.43611111111111084</v>
      </c>
      <c r="G9" s="37">
        <v>1</v>
      </c>
      <c r="H9" s="56">
        <f t="shared" si="1"/>
        <v>0.6145833333333327</v>
      </c>
      <c r="J9" s="105" t="s">
        <v>3</v>
      </c>
      <c r="K9" s="88"/>
      <c r="L9" s="37">
        <v>1</v>
      </c>
      <c r="M9" s="55">
        <f t="shared" si="2"/>
        <v>0.36597222222222214</v>
      </c>
      <c r="N9" s="37">
        <v>1</v>
      </c>
      <c r="O9" s="55">
        <f t="shared" si="3"/>
        <v>0.50694444444444398</v>
      </c>
      <c r="P9" s="37">
        <v>1</v>
      </c>
      <c r="Q9" s="63">
        <f t="shared" si="4"/>
        <v>0.67986111111111025</v>
      </c>
      <c r="S9" s="7" t="s">
        <v>13</v>
      </c>
      <c r="T9" s="8" t="s">
        <v>2</v>
      </c>
      <c r="U9" s="9" t="s">
        <v>19</v>
      </c>
      <c r="V9" s="72">
        <v>0</v>
      </c>
    </row>
    <row r="10" spans="1:23" ht="18.75" customHeight="1" thickBot="1" x14ac:dyDescent="0.2">
      <c r="A10" s="94" t="s">
        <v>1</v>
      </c>
      <c r="B10" s="95"/>
      <c r="C10" s="38"/>
      <c r="D10" s="43"/>
      <c r="E10" s="41">
        <v>1</v>
      </c>
      <c r="F10" s="53">
        <f t="shared" si="0"/>
        <v>0.43680555555555528</v>
      </c>
      <c r="G10" s="41">
        <v>1</v>
      </c>
      <c r="H10" s="54">
        <f t="shared" si="1"/>
        <v>0.61527777777777715</v>
      </c>
      <c r="J10" s="94" t="s">
        <v>1</v>
      </c>
      <c r="K10" s="95"/>
      <c r="L10" s="41">
        <v>1</v>
      </c>
      <c r="M10" s="53">
        <f t="shared" si="2"/>
        <v>0.36666666666666659</v>
      </c>
      <c r="N10" s="41">
        <v>1</v>
      </c>
      <c r="O10" s="53">
        <f t="shared" si="3"/>
        <v>0.50763888888888842</v>
      </c>
      <c r="P10" s="41">
        <v>1</v>
      </c>
      <c r="Q10" s="63">
        <f t="shared" si="4"/>
        <v>0.68055555555555469</v>
      </c>
      <c r="S10" s="10" t="s">
        <v>13</v>
      </c>
      <c r="T10" s="18" t="s">
        <v>6</v>
      </c>
      <c r="U10" s="19" t="s">
        <v>16</v>
      </c>
      <c r="V10" s="73">
        <v>1.4583333333333332E-2</v>
      </c>
    </row>
    <row r="11" spans="1:23" ht="18.75" customHeight="1" thickBot="1" x14ac:dyDescent="0.2">
      <c r="A11" s="103" t="s">
        <v>0</v>
      </c>
      <c r="B11" s="104"/>
      <c r="C11" s="49"/>
      <c r="D11" s="50"/>
      <c r="E11" s="57">
        <v>3</v>
      </c>
      <c r="F11" s="51">
        <f t="shared" si="0"/>
        <v>0.43888888888888861</v>
      </c>
      <c r="G11" s="57">
        <v>3</v>
      </c>
      <c r="H11" s="58">
        <f t="shared" si="1"/>
        <v>0.61736111111111047</v>
      </c>
      <c r="J11" s="103" t="s">
        <v>0</v>
      </c>
      <c r="K11" s="104"/>
      <c r="L11" s="57">
        <v>3</v>
      </c>
      <c r="M11" s="51">
        <f t="shared" si="2"/>
        <v>0.36874999999999991</v>
      </c>
      <c r="N11" s="57">
        <v>3</v>
      </c>
      <c r="O11" s="51">
        <f t="shared" si="3"/>
        <v>0.50972222222222174</v>
      </c>
      <c r="P11" s="57">
        <v>3</v>
      </c>
      <c r="Q11" s="58">
        <f t="shared" si="4"/>
        <v>0.68263888888888802</v>
      </c>
      <c r="S11" s="20"/>
      <c r="T11" s="20"/>
      <c r="U11" s="20"/>
      <c r="V11" s="21">
        <f>SUM(V4:V10)</f>
        <v>0.12083333333333335</v>
      </c>
    </row>
    <row r="12" spans="1:23" ht="18.75" customHeight="1" x14ac:dyDescent="0.15">
      <c r="A12" s="94" t="s">
        <v>20</v>
      </c>
      <c r="B12" s="95"/>
      <c r="C12" s="38"/>
      <c r="D12" s="43"/>
      <c r="E12" s="59">
        <v>1</v>
      </c>
      <c r="F12" s="53">
        <f t="shared" si="0"/>
        <v>0.43958333333333305</v>
      </c>
      <c r="G12" s="59">
        <v>1</v>
      </c>
      <c r="H12" s="60">
        <f t="shared" si="1"/>
        <v>0.61805555555555491</v>
      </c>
      <c r="J12" s="94" t="s">
        <v>20</v>
      </c>
      <c r="K12" s="95"/>
      <c r="L12" s="41">
        <v>1</v>
      </c>
      <c r="M12" s="53">
        <f t="shared" si="2"/>
        <v>0.36944444444444435</v>
      </c>
      <c r="N12" s="41">
        <v>1</v>
      </c>
      <c r="O12" s="53">
        <f t="shared" si="3"/>
        <v>0.51041666666666619</v>
      </c>
      <c r="P12" s="41">
        <v>1</v>
      </c>
      <c r="Q12" s="63">
        <f t="shared" si="4"/>
        <v>0.68333333333333246</v>
      </c>
      <c r="S12" s="20"/>
      <c r="T12" s="20"/>
      <c r="U12" s="20"/>
      <c r="V12" s="22"/>
    </row>
    <row r="13" spans="1:23" ht="18.75" customHeight="1" thickBot="1" x14ac:dyDescent="0.2">
      <c r="A13" s="96" t="s">
        <v>22</v>
      </c>
      <c r="B13" s="87"/>
      <c r="C13" s="38"/>
      <c r="D13" s="43"/>
      <c r="E13" s="61">
        <v>0</v>
      </c>
      <c r="F13" s="62">
        <f t="shared" si="0"/>
        <v>0.43958333333333305</v>
      </c>
      <c r="G13" s="61">
        <v>0</v>
      </c>
      <c r="H13" s="63">
        <f t="shared" si="1"/>
        <v>0.61805555555555491</v>
      </c>
      <c r="J13" s="96" t="s">
        <v>22</v>
      </c>
      <c r="K13" s="87"/>
      <c r="L13" s="37">
        <v>0</v>
      </c>
      <c r="M13" s="62">
        <f t="shared" si="2"/>
        <v>0.36944444444444435</v>
      </c>
      <c r="N13" s="37">
        <v>0</v>
      </c>
      <c r="O13" s="62">
        <f t="shared" si="3"/>
        <v>0.51041666666666619</v>
      </c>
      <c r="P13" s="37">
        <v>0</v>
      </c>
      <c r="Q13" s="63">
        <f t="shared" si="4"/>
        <v>0.68333333333333246</v>
      </c>
    </row>
    <row r="14" spans="1:23" ht="18.75" customHeight="1" thickBot="1" x14ac:dyDescent="0.2">
      <c r="A14" s="101" t="s">
        <v>58</v>
      </c>
      <c r="B14" s="102"/>
      <c r="C14" s="64"/>
      <c r="D14" s="65"/>
      <c r="E14" s="59">
        <v>2</v>
      </c>
      <c r="F14" s="53">
        <f t="shared" si="0"/>
        <v>0.44097222222222193</v>
      </c>
      <c r="G14" s="59">
        <v>2</v>
      </c>
      <c r="H14" s="60">
        <f t="shared" si="1"/>
        <v>0.6194444444444438</v>
      </c>
      <c r="J14" s="101" t="s">
        <v>58</v>
      </c>
      <c r="K14" s="102"/>
      <c r="L14" s="41">
        <v>2</v>
      </c>
      <c r="M14" s="53">
        <f t="shared" si="2"/>
        <v>0.37083333333333324</v>
      </c>
      <c r="N14" s="41">
        <v>2</v>
      </c>
      <c r="O14" s="74">
        <f t="shared" si="3"/>
        <v>0.51180555555555507</v>
      </c>
      <c r="P14" s="75">
        <v>2</v>
      </c>
      <c r="Q14" s="76">
        <f t="shared" si="4"/>
        <v>0.68472222222222134</v>
      </c>
      <c r="S14" s="89" t="s">
        <v>21</v>
      </c>
      <c r="T14" s="89"/>
      <c r="U14" s="89"/>
      <c r="V14" s="89"/>
    </row>
    <row r="15" spans="1:23" ht="18.75" customHeight="1" x14ac:dyDescent="0.15">
      <c r="A15" s="92" t="s">
        <v>54</v>
      </c>
      <c r="B15" s="93"/>
      <c r="C15" s="64"/>
      <c r="D15" s="65"/>
      <c r="E15" s="61">
        <v>1</v>
      </c>
      <c r="F15" s="62">
        <f t="shared" si="0"/>
        <v>0.44166666666666637</v>
      </c>
      <c r="G15" s="61">
        <v>1</v>
      </c>
      <c r="H15" s="63">
        <f t="shared" si="1"/>
        <v>0.62013888888888824</v>
      </c>
      <c r="J15" s="96" t="s">
        <v>26</v>
      </c>
      <c r="K15" s="87"/>
      <c r="L15" s="37">
        <v>2</v>
      </c>
      <c r="M15" s="62">
        <f t="shared" si="2"/>
        <v>0.37222222222222212</v>
      </c>
      <c r="N15" s="37">
        <v>2</v>
      </c>
      <c r="O15" s="62">
        <f t="shared" si="3"/>
        <v>0.51319444444444395</v>
      </c>
      <c r="P15" s="66">
        <v>2</v>
      </c>
      <c r="Q15" s="63">
        <f t="shared" si="4"/>
        <v>0.68611111111111023</v>
      </c>
      <c r="S15" s="23" t="s">
        <v>23</v>
      </c>
      <c r="T15" s="24"/>
      <c r="U15" s="25" t="s">
        <v>24</v>
      </c>
      <c r="V15" s="26" t="s">
        <v>25</v>
      </c>
    </row>
    <row r="16" spans="1:23" ht="18.75" customHeight="1" x14ac:dyDescent="0.15">
      <c r="A16" s="97" t="s">
        <v>27</v>
      </c>
      <c r="B16" s="98"/>
      <c r="C16" s="64"/>
      <c r="D16" s="65"/>
      <c r="E16" s="59">
        <v>1</v>
      </c>
      <c r="F16" s="53">
        <f t="shared" si="0"/>
        <v>0.44236111111111082</v>
      </c>
      <c r="G16" s="59">
        <v>1</v>
      </c>
      <c r="H16" s="60">
        <f t="shared" si="1"/>
        <v>0.62083333333333268</v>
      </c>
      <c r="J16" s="94" t="s">
        <v>28</v>
      </c>
      <c r="K16" s="95"/>
      <c r="L16" s="41">
        <v>2</v>
      </c>
      <c r="M16" s="53">
        <f t="shared" si="2"/>
        <v>0.37361111111111101</v>
      </c>
      <c r="N16" s="41">
        <v>2</v>
      </c>
      <c r="O16" s="53">
        <f>O15+TIME(0,N16,0)</f>
        <v>0.51458333333333284</v>
      </c>
      <c r="P16" s="59">
        <v>2</v>
      </c>
      <c r="Q16" s="63">
        <f t="shared" si="4"/>
        <v>0.68749999999999911</v>
      </c>
      <c r="S16" s="27">
        <f>M43</f>
        <v>0.40486111111111089</v>
      </c>
      <c r="T16" s="28" t="s">
        <v>6</v>
      </c>
      <c r="U16" s="29">
        <f>F9</f>
        <v>0.43611111111111084</v>
      </c>
      <c r="V16" s="30">
        <f>U16-S16</f>
        <v>3.1249999999999944E-2</v>
      </c>
      <c r="W16" s="1" t="s">
        <v>29</v>
      </c>
    </row>
    <row r="17" spans="1:23" ht="18.75" customHeight="1" x14ac:dyDescent="0.15">
      <c r="A17" s="92" t="s">
        <v>30</v>
      </c>
      <c r="B17" s="93"/>
      <c r="C17" s="64"/>
      <c r="D17" s="65"/>
      <c r="E17" s="61">
        <v>1</v>
      </c>
      <c r="F17" s="62">
        <f t="shared" si="0"/>
        <v>0.44305555555555526</v>
      </c>
      <c r="G17" s="61">
        <v>1</v>
      </c>
      <c r="H17" s="63">
        <f t="shared" si="1"/>
        <v>0.62152777777777712</v>
      </c>
      <c r="J17" s="96" t="s">
        <v>31</v>
      </c>
      <c r="K17" s="87"/>
      <c r="L17" s="66">
        <v>2</v>
      </c>
      <c r="M17" s="62">
        <f t="shared" si="2"/>
        <v>0.37499999999999989</v>
      </c>
      <c r="N17" s="41">
        <v>2</v>
      </c>
      <c r="O17" s="62">
        <f>O16+TIME(0,N17,0)</f>
        <v>0.51597222222222172</v>
      </c>
      <c r="P17" s="41">
        <v>2</v>
      </c>
      <c r="Q17" s="63">
        <f t="shared" si="4"/>
        <v>0.688888888888888</v>
      </c>
      <c r="S17" s="27">
        <f>F43</f>
        <v>0.47569444444444403</v>
      </c>
      <c r="T17" s="28" t="s">
        <v>6</v>
      </c>
      <c r="U17" s="29">
        <f>O9</f>
        <v>0.50694444444444398</v>
      </c>
      <c r="V17" s="30">
        <f>U17-S17</f>
        <v>3.1249999999999944E-2</v>
      </c>
    </row>
    <row r="18" spans="1:23" ht="18.75" customHeight="1" x14ac:dyDescent="0.15">
      <c r="A18" s="97" t="s">
        <v>32</v>
      </c>
      <c r="B18" s="98"/>
      <c r="C18" s="64"/>
      <c r="D18" s="65"/>
      <c r="E18" s="66">
        <v>5</v>
      </c>
      <c r="F18" s="53">
        <f t="shared" si="0"/>
        <v>0.44652777777777747</v>
      </c>
      <c r="G18" s="66">
        <v>5</v>
      </c>
      <c r="H18" s="60">
        <f t="shared" si="1"/>
        <v>0.62499999999999933</v>
      </c>
      <c r="J18" s="94" t="s">
        <v>33</v>
      </c>
      <c r="K18" s="95"/>
      <c r="L18" s="66">
        <v>1</v>
      </c>
      <c r="M18" s="67">
        <f t="shared" si="2"/>
        <v>0.37569444444444433</v>
      </c>
      <c r="N18" s="66">
        <v>1</v>
      </c>
      <c r="O18" s="53">
        <f t="shared" si="3"/>
        <v>0.51666666666666616</v>
      </c>
      <c r="P18" s="66">
        <v>1</v>
      </c>
      <c r="Q18" s="63">
        <f t="shared" si="4"/>
        <v>0.68958333333333244</v>
      </c>
      <c r="S18" s="27">
        <f>O43</f>
        <v>0.54583333333333273</v>
      </c>
      <c r="T18" s="28" t="s">
        <v>6</v>
      </c>
      <c r="U18" s="29">
        <f>H9</f>
        <v>0.6145833333333327</v>
      </c>
      <c r="V18" s="30">
        <f>U18-S18</f>
        <v>6.8749999999999978E-2</v>
      </c>
    </row>
    <row r="19" spans="1:23" ht="18.75" customHeight="1" x14ac:dyDescent="0.15">
      <c r="A19" s="92" t="s">
        <v>34</v>
      </c>
      <c r="B19" s="93"/>
      <c r="C19" s="64"/>
      <c r="D19" s="65"/>
      <c r="E19" s="61">
        <v>2</v>
      </c>
      <c r="F19" s="62">
        <f t="shared" si="0"/>
        <v>0.44791666666666635</v>
      </c>
      <c r="G19" s="61">
        <v>2</v>
      </c>
      <c r="H19" s="63">
        <f t="shared" si="1"/>
        <v>0.62638888888888822</v>
      </c>
      <c r="J19" s="96" t="s">
        <v>35</v>
      </c>
      <c r="K19" s="87"/>
      <c r="L19" s="37">
        <v>1</v>
      </c>
      <c r="M19" s="44">
        <f t="shared" si="2"/>
        <v>0.37638888888888877</v>
      </c>
      <c r="N19" s="37">
        <v>1</v>
      </c>
      <c r="O19" s="62">
        <f t="shared" si="3"/>
        <v>0.51736111111111061</v>
      </c>
      <c r="P19" s="37">
        <v>1</v>
      </c>
      <c r="Q19" s="63">
        <f t="shared" si="4"/>
        <v>0.69027777777777688</v>
      </c>
      <c r="S19" s="27">
        <f>H43</f>
        <v>0.6541666666666659</v>
      </c>
      <c r="T19" s="28" t="s">
        <v>6</v>
      </c>
      <c r="U19" s="29">
        <f>Q9</f>
        <v>0.67986111111111025</v>
      </c>
      <c r="V19" s="30">
        <f>U19-S19</f>
        <v>2.5694444444444353E-2</v>
      </c>
    </row>
    <row r="20" spans="1:23" ht="18.75" customHeight="1" x14ac:dyDescent="0.15">
      <c r="A20" s="97" t="s">
        <v>36</v>
      </c>
      <c r="B20" s="98"/>
      <c r="C20" s="64"/>
      <c r="D20" s="65"/>
      <c r="E20" s="59">
        <v>0</v>
      </c>
      <c r="F20" s="53">
        <f t="shared" si="0"/>
        <v>0.44791666666666635</v>
      </c>
      <c r="G20" s="59">
        <v>0</v>
      </c>
      <c r="H20" s="60">
        <f t="shared" si="1"/>
        <v>0.62638888888888822</v>
      </c>
      <c r="J20" s="94" t="s">
        <v>37</v>
      </c>
      <c r="K20" s="95"/>
      <c r="L20" s="41">
        <v>1</v>
      </c>
      <c r="M20" s="67">
        <f t="shared" si="2"/>
        <v>0.37708333333333321</v>
      </c>
      <c r="N20" s="41">
        <v>1</v>
      </c>
      <c r="O20" s="53">
        <f t="shared" si="3"/>
        <v>0.51805555555555505</v>
      </c>
      <c r="P20" s="41">
        <v>1</v>
      </c>
      <c r="Q20" s="63">
        <f t="shared" si="4"/>
        <v>0.69097222222222132</v>
      </c>
    </row>
    <row r="21" spans="1:23" ht="18.75" customHeight="1" x14ac:dyDescent="0.15">
      <c r="A21" s="92" t="s">
        <v>47</v>
      </c>
      <c r="B21" s="93"/>
      <c r="C21" s="64"/>
      <c r="D21" s="65"/>
      <c r="E21" s="61">
        <v>1</v>
      </c>
      <c r="F21" s="62">
        <f t="shared" si="0"/>
        <v>0.44861111111111079</v>
      </c>
      <c r="G21" s="61">
        <v>1</v>
      </c>
      <c r="H21" s="63">
        <f t="shared" si="1"/>
        <v>0.62708333333333266</v>
      </c>
      <c r="J21" s="96" t="s">
        <v>38</v>
      </c>
      <c r="K21" s="87"/>
      <c r="L21" s="37">
        <v>1</v>
      </c>
      <c r="M21" s="44">
        <f t="shared" si="2"/>
        <v>0.37777777777777766</v>
      </c>
      <c r="N21" s="37">
        <v>1</v>
      </c>
      <c r="O21" s="62">
        <f t="shared" si="3"/>
        <v>0.51874999999999949</v>
      </c>
      <c r="P21" s="37">
        <v>1</v>
      </c>
      <c r="Q21" s="63">
        <f t="shared" si="4"/>
        <v>0.69166666666666576</v>
      </c>
      <c r="S21" s="89" t="s">
        <v>55</v>
      </c>
      <c r="T21" s="89"/>
      <c r="U21" s="89"/>
      <c r="V21" s="89"/>
    </row>
    <row r="22" spans="1:23" ht="18.75" customHeight="1" x14ac:dyDescent="0.15">
      <c r="A22" s="97" t="s">
        <v>40</v>
      </c>
      <c r="B22" s="98"/>
      <c r="C22" s="64"/>
      <c r="D22" s="65"/>
      <c r="E22" s="59">
        <v>2</v>
      </c>
      <c r="F22" s="53">
        <f t="shared" si="0"/>
        <v>0.44999999999999968</v>
      </c>
      <c r="G22" s="59">
        <v>2</v>
      </c>
      <c r="H22" s="60">
        <f t="shared" si="1"/>
        <v>0.62847222222222154</v>
      </c>
      <c r="J22" s="94" t="s">
        <v>39</v>
      </c>
      <c r="K22" s="95"/>
      <c r="L22" s="41">
        <v>2</v>
      </c>
      <c r="M22" s="67">
        <f t="shared" si="2"/>
        <v>0.37916666666666654</v>
      </c>
      <c r="N22" s="66">
        <v>2</v>
      </c>
      <c r="O22" s="53">
        <f t="shared" si="3"/>
        <v>0.52013888888888837</v>
      </c>
      <c r="P22" s="66">
        <v>2</v>
      </c>
      <c r="Q22" s="63">
        <f t="shared" si="4"/>
        <v>0.69305555555555465</v>
      </c>
      <c r="S22" s="23" t="s">
        <v>23</v>
      </c>
      <c r="T22" s="24"/>
      <c r="U22" s="25" t="s">
        <v>24</v>
      </c>
      <c r="V22" s="26" t="s">
        <v>25</v>
      </c>
    </row>
    <row r="23" spans="1:23" ht="18.75" customHeight="1" x14ac:dyDescent="0.15">
      <c r="A23" s="92" t="s">
        <v>41</v>
      </c>
      <c r="B23" s="93"/>
      <c r="C23" s="64"/>
      <c r="D23" s="65"/>
      <c r="E23" s="61">
        <v>0</v>
      </c>
      <c r="F23" s="62">
        <f t="shared" si="0"/>
        <v>0.44999999999999968</v>
      </c>
      <c r="G23" s="61">
        <v>0</v>
      </c>
      <c r="H23" s="63">
        <f t="shared" si="1"/>
        <v>0.62847222222222154</v>
      </c>
      <c r="J23" s="92" t="s">
        <v>19</v>
      </c>
      <c r="K23" s="93"/>
      <c r="L23" s="66">
        <v>6</v>
      </c>
      <c r="M23" s="62">
        <f t="shared" si="2"/>
        <v>0.38333333333333319</v>
      </c>
      <c r="N23" s="66">
        <v>6</v>
      </c>
      <c r="O23" s="62">
        <f t="shared" si="3"/>
        <v>0.52430555555555503</v>
      </c>
      <c r="P23" s="66">
        <v>6</v>
      </c>
      <c r="Q23" s="63">
        <f t="shared" si="4"/>
        <v>0.6972222222222213</v>
      </c>
      <c r="S23" s="27">
        <f>M28</f>
        <v>0.38888888888888873</v>
      </c>
      <c r="T23" s="28" t="s">
        <v>6</v>
      </c>
      <c r="U23" s="29">
        <f>F24</f>
        <v>0.45138888888888856</v>
      </c>
      <c r="V23" s="30">
        <f>U23-S23</f>
        <v>6.2499999999999833E-2</v>
      </c>
      <c r="W23" s="1" t="s">
        <v>29</v>
      </c>
    </row>
    <row r="24" spans="1:23" ht="18.75" customHeight="1" x14ac:dyDescent="0.15">
      <c r="A24" s="97" t="s">
        <v>43</v>
      </c>
      <c r="B24" s="98"/>
      <c r="C24" s="64"/>
      <c r="D24" s="65"/>
      <c r="E24" s="59">
        <v>2</v>
      </c>
      <c r="F24" s="53">
        <f t="shared" si="0"/>
        <v>0.45138888888888856</v>
      </c>
      <c r="G24" s="59">
        <v>2</v>
      </c>
      <c r="H24" s="60">
        <f t="shared" si="1"/>
        <v>0.62986111111111043</v>
      </c>
      <c r="J24" s="94" t="s">
        <v>42</v>
      </c>
      <c r="K24" s="95"/>
      <c r="L24" s="41">
        <v>5</v>
      </c>
      <c r="M24" s="53">
        <f t="shared" si="2"/>
        <v>0.3868055555555554</v>
      </c>
      <c r="N24" s="41">
        <v>5</v>
      </c>
      <c r="O24" s="53">
        <f t="shared" si="3"/>
        <v>0.52777777777777724</v>
      </c>
      <c r="P24" s="41">
        <v>5</v>
      </c>
      <c r="Q24" s="63">
        <f t="shared" si="4"/>
        <v>0.70069444444444351</v>
      </c>
      <c r="S24" s="27">
        <f>F24</f>
        <v>0.45138888888888856</v>
      </c>
      <c r="T24" s="28" t="s">
        <v>6</v>
      </c>
      <c r="U24" s="29">
        <f>O28</f>
        <v>0.52986111111111056</v>
      </c>
      <c r="V24" s="30">
        <f>U24-S24</f>
        <v>7.8472222222221999E-2</v>
      </c>
    </row>
    <row r="25" spans="1:23" ht="18.75" customHeight="1" x14ac:dyDescent="0.15">
      <c r="A25" s="92" t="s">
        <v>45</v>
      </c>
      <c r="B25" s="93"/>
      <c r="C25" s="64"/>
      <c r="D25" s="65"/>
      <c r="E25" s="61">
        <v>1</v>
      </c>
      <c r="F25" s="62">
        <f t="shared" si="0"/>
        <v>0.452083333333333</v>
      </c>
      <c r="G25" s="61">
        <v>1</v>
      </c>
      <c r="H25" s="63">
        <f t="shared" si="1"/>
        <v>0.63055555555555487</v>
      </c>
      <c r="J25" s="96" t="s">
        <v>44</v>
      </c>
      <c r="K25" s="87"/>
      <c r="L25" s="37">
        <v>1</v>
      </c>
      <c r="M25" s="62">
        <f t="shared" si="2"/>
        <v>0.38749999999999984</v>
      </c>
      <c r="N25" s="37">
        <v>1</v>
      </c>
      <c r="O25" s="62">
        <f t="shared" si="3"/>
        <v>0.52847222222222168</v>
      </c>
      <c r="P25" s="37">
        <v>1</v>
      </c>
      <c r="Q25" s="63">
        <f t="shared" si="4"/>
        <v>0.70138888888888795</v>
      </c>
      <c r="S25" s="27">
        <f>O28</f>
        <v>0.52986111111111056</v>
      </c>
      <c r="T25" s="28" t="s">
        <v>6</v>
      </c>
      <c r="U25" s="29">
        <f>H24</f>
        <v>0.62986111111111043</v>
      </c>
      <c r="V25" s="30">
        <f>U25-S25</f>
        <v>9.9999999999999867E-2</v>
      </c>
    </row>
    <row r="26" spans="1:23" ht="18.75" customHeight="1" x14ac:dyDescent="0.15">
      <c r="A26" s="97" t="s">
        <v>46</v>
      </c>
      <c r="B26" s="98"/>
      <c r="C26" s="64"/>
      <c r="D26" s="65"/>
      <c r="E26" s="59">
        <v>1</v>
      </c>
      <c r="F26" s="53">
        <f t="shared" si="0"/>
        <v>0.45277777777777745</v>
      </c>
      <c r="G26" s="59">
        <v>1</v>
      </c>
      <c r="H26" s="60">
        <f t="shared" si="1"/>
        <v>0.63124999999999931</v>
      </c>
      <c r="J26" s="94" t="s">
        <v>46</v>
      </c>
      <c r="K26" s="95"/>
      <c r="L26" s="41">
        <v>0</v>
      </c>
      <c r="M26" s="53">
        <f t="shared" si="2"/>
        <v>0.38749999999999984</v>
      </c>
      <c r="N26" s="41">
        <v>0</v>
      </c>
      <c r="O26" s="53">
        <f t="shared" si="3"/>
        <v>0.52847222222222168</v>
      </c>
      <c r="P26" s="41">
        <v>0</v>
      </c>
      <c r="Q26" s="63">
        <f t="shared" si="4"/>
        <v>0.70138888888888795</v>
      </c>
      <c r="S26" s="27">
        <f>H24</f>
        <v>0.62986111111111043</v>
      </c>
      <c r="T26" s="28" t="s">
        <v>6</v>
      </c>
      <c r="U26" s="29">
        <f>Q28</f>
        <v>0.70277777777777684</v>
      </c>
      <c r="V26" s="30">
        <f>U26-S26</f>
        <v>7.2916666666666408E-2</v>
      </c>
    </row>
    <row r="27" spans="1:23" ht="18.75" customHeight="1" x14ac:dyDescent="0.15">
      <c r="A27" s="92" t="s">
        <v>44</v>
      </c>
      <c r="B27" s="93"/>
      <c r="C27" s="64"/>
      <c r="D27" s="65"/>
      <c r="E27" s="61">
        <v>0</v>
      </c>
      <c r="F27" s="62">
        <f t="shared" si="0"/>
        <v>0.45277777777777745</v>
      </c>
      <c r="G27" s="61">
        <v>0</v>
      </c>
      <c r="H27" s="63">
        <f t="shared" si="1"/>
        <v>0.63124999999999931</v>
      </c>
      <c r="J27" s="96" t="s">
        <v>45</v>
      </c>
      <c r="K27" s="87"/>
      <c r="L27" s="37">
        <v>1</v>
      </c>
      <c r="M27" s="62">
        <f t="shared" si="2"/>
        <v>0.38819444444444429</v>
      </c>
      <c r="N27" s="37">
        <v>1</v>
      </c>
      <c r="O27" s="62">
        <f t="shared" si="3"/>
        <v>0.52916666666666612</v>
      </c>
      <c r="P27" s="37">
        <v>1</v>
      </c>
      <c r="Q27" s="63">
        <f t="shared" si="4"/>
        <v>0.70208333333333239</v>
      </c>
    </row>
    <row r="28" spans="1:23" ht="18.75" customHeight="1" x14ac:dyDescent="0.15">
      <c r="A28" s="97" t="s">
        <v>42</v>
      </c>
      <c r="B28" s="98"/>
      <c r="C28" s="64"/>
      <c r="D28" s="65"/>
      <c r="E28" s="59">
        <v>1</v>
      </c>
      <c r="F28" s="53">
        <f t="shared" si="0"/>
        <v>0.45347222222222189</v>
      </c>
      <c r="G28" s="59">
        <v>1</v>
      </c>
      <c r="H28" s="60">
        <f t="shared" si="1"/>
        <v>0.63194444444444375</v>
      </c>
      <c r="J28" s="94" t="s">
        <v>43</v>
      </c>
      <c r="K28" s="95"/>
      <c r="L28" s="41">
        <v>1</v>
      </c>
      <c r="M28" s="53">
        <f t="shared" si="2"/>
        <v>0.38888888888888873</v>
      </c>
      <c r="N28" s="41">
        <v>1</v>
      </c>
      <c r="O28" s="53">
        <f t="shared" si="3"/>
        <v>0.52986111111111056</v>
      </c>
      <c r="P28" s="41">
        <v>1</v>
      </c>
      <c r="Q28" s="63">
        <f t="shared" si="4"/>
        <v>0.70277777777777684</v>
      </c>
    </row>
    <row r="29" spans="1:23" ht="18.75" customHeight="1" x14ac:dyDescent="0.15">
      <c r="A29" s="92" t="s">
        <v>19</v>
      </c>
      <c r="B29" s="93"/>
      <c r="C29" s="38"/>
      <c r="D29" s="36">
        <v>0.32291666666666669</v>
      </c>
      <c r="E29" s="66">
        <v>7</v>
      </c>
      <c r="F29" s="44">
        <f t="shared" si="0"/>
        <v>0.45833333333333298</v>
      </c>
      <c r="G29" s="66">
        <v>7</v>
      </c>
      <c r="H29" s="63">
        <f t="shared" si="1"/>
        <v>0.63680555555555485</v>
      </c>
      <c r="J29" s="96" t="s">
        <v>41</v>
      </c>
      <c r="K29" s="87"/>
      <c r="L29" s="37">
        <v>1</v>
      </c>
      <c r="M29" s="62">
        <f t="shared" si="2"/>
        <v>0.38958333333333317</v>
      </c>
      <c r="N29" s="37">
        <v>1</v>
      </c>
      <c r="O29" s="62">
        <f t="shared" si="3"/>
        <v>0.530555555555555</v>
      </c>
      <c r="P29" s="37">
        <v>1</v>
      </c>
      <c r="Q29" s="63">
        <f t="shared" si="4"/>
        <v>0.70347222222222128</v>
      </c>
    </row>
    <row r="30" spans="1:23" ht="18.75" customHeight="1" x14ac:dyDescent="0.15">
      <c r="A30" s="94" t="s">
        <v>39</v>
      </c>
      <c r="B30" s="95"/>
      <c r="C30" s="41">
        <v>3</v>
      </c>
      <c r="D30" s="40">
        <f t="shared" ref="D30:D46" si="5">D29+TIME(0,C30,0)</f>
        <v>0.32500000000000001</v>
      </c>
      <c r="E30" s="59">
        <v>3</v>
      </c>
      <c r="F30" s="67">
        <f t="shared" si="0"/>
        <v>0.46041666666666631</v>
      </c>
      <c r="G30" s="59">
        <v>3</v>
      </c>
      <c r="H30" s="60">
        <f t="shared" si="1"/>
        <v>0.63888888888888817</v>
      </c>
      <c r="J30" s="94" t="s">
        <v>40</v>
      </c>
      <c r="K30" s="95"/>
      <c r="L30" s="41">
        <v>0</v>
      </c>
      <c r="M30" s="53">
        <f t="shared" si="2"/>
        <v>0.38958333333333317</v>
      </c>
      <c r="N30" s="41">
        <v>0</v>
      </c>
      <c r="O30" s="53">
        <f t="shared" si="3"/>
        <v>0.530555555555555</v>
      </c>
      <c r="P30" s="41">
        <v>0</v>
      </c>
      <c r="Q30" s="63">
        <f t="shared" si="4"/>
        <v>0.70347222222222128</v>
      </c>
    </row>
    <row r="31" spans="1:23" ht="18.75" customHeight="1" x14ac:dyDescent="0.15">
      <c r="A31" s="96" t="s">
        <v>38</v>
      </c>
      <c r="B31" s="87"/>
      <c r="C31" s="37">
        <v>1</v>
      </c>
      <c r="D31" s="36">
        <f t="shared" si="5"/>
        <v>0.32569444444444445</v>
      </c>
      <c r="E31" s="61">
        <v>1</v>
      </c>
      <c r="F31" s="44">
        <f t="shared" si="0"/>
        <v>0.46111111111111075</v>
      </c>
      <c r="G31" s="61">
        <v>1</v>
      </c>
      <c r="H31" s="63">
        <f t="shared" si="1"/>
        <v>0.63958333333333262</v>
      </c>
      <c r="J31" s="92" t="s">
        <v>47</v>
      </c>
      <c r="K31" s="93"/>
      <c r="L31" s="37">
        <v>2</v>
      </c>
      <c r="M31" s="62">
        <f t="shared" si="2"/>
        <v>0.39097222222222205</v>
      </c>
      <c r="N31" s="37">
        <v>2</v>
      </c>
      <c r="O31" s="62">
        <f t="shared" si="3"/>
        <v>0.53194444444444389</v>
      </c>
      <c r="P31" s="37">
        <v>2</v>
      </c>
      <c r="Q31" s="63">
        <f t="shared" si="4"/>
        <v>0.70486111111111016</v>
      </c>
    </row>
    <row r="32" spans="1:23" ht="18.75" customHeight="1" x14ac:dyDescent="0.15">
      <c r="A32" s="94" t="s">
        <v>37</v>
      </c>
      <c r="B32" s="95"/>
      <c r="C32" s="41">
        <v>1</v>
      </c>
      <c r="D32" s="40">
        <f t="shared" si="5"/>
        <v>0.3263888888888889</v>
      </c>
      <c r="E32" s="59">
        <v>1</v>
      </c>
      <c r="F32" s="67">
        <f t="shared" si="0"/>
        <v>0.46180555555555519</v>
      </c>
      <c r="G32" s="59">
        <v>1</v>
      </c>
      <c r="H32" s="60">
        <f t="shared" si="1"/>
        <v>0.64027777777777706</v>
      </c>
      <c r="J32" s="94" t="s">
        <v>36</v>
      </c>
      <c r="K32" s="95"/>
      <c r="L32" s="41">
        <v>1</v>
      </c>
      <c r="M32" s="53">
        <f t="shared" si="2"/>
        <v>0.3916666666666665</v>
      </c>
      <c r="N32" s="41">
        <v>1</v>
      </c>
      <c r="O32" s="53">
        <f t="shared" si="3"/>
        <v>0.53263888888888833</v>
      </c>
      <c r="P32" s="41">
        <v>1</v>
      </c>
      <c r="Q32" s="63">
        <f t="shared" si="4"/>
        <v>0.7055555555555546</v>
      </c>
    </row>
    <row r="33" spans="1:17" ht="18.75" customHeight="1" x14ac:dyDescent="0.15">
      <c r="A33" s="96" t="s">
        <v>35</v>
      </c>
      <c r="B33" s="87"/>
      <c r="C33" s="37">
        <v>1</v>
      </c>
      <c r="D33" s="36">
        <f t="shared" si="5"/>
        <v>0.32708333333333334</v>
      </c>
      <c r="E33" s="61">
        <v>1</v>
      </c>
      <c r="F33" s="44">
        <f t="shared" si="0"/>
        <v>0.46249999999999963</v>
      </c>
      <c r="G33" s="61">
        <v>1</v>
      </c>
      <c r="H33" s="63">
        <f t="shared" si="1"/>
        <v>0.6409722222222215</v>
      </c>
      <c r="J33" s="96" t="s">
        <v>34</v>
      </c>
      <c r="K33" s="87"/>
      <c r="L33" s="37">
        <v>0</v>
      </c>
      <c r="M33" s="62">
        <f t="shared" si="2"/>
        <v>0.3916666666666665</v>
      </c>
      <c r="N33" s="37">
        <v>0</v>
      </c>
      <c r="O33" s="62">
        <f t="shared" si="3"/>
        <v>0.53263888888888833</v>
      </c>
      <c r="P33" s="37">
        <v>0</v>
      </c>
      <c r="Q33" s="63">
        <f t="shared" si="4"/>
        <v>0.7055555555555546</v>
      </c>
    </row>
    <row r="34" spans="1:17" ht="18.75" customHeight="1" x14ac:dyDescent="0.15">
      <c r="A34" s="94" t="s">
        <v>33</v>
      </c>
      <c r="B34" s="95"/>
      <c r="C34" s="41">
        <v>2</v>
      </c>
      <c r="D34" s="40">
        <f t="shared" si="5"/>
        <v>0.32847222222222222</v>
      </c>
      <c r="E34" s="59">
        <v>2</v>
      </c>
      <c r="F34" s="67">
        <f t="shared" si="0"/>
        <v>0.46388888888888852</v>
      </c>
      <c r="G34" s="59">
        <v>2</v>
      </c>
      <c r="H34" s="60">
        <f t="shared" si="1"/>
        <v>0.64236111111111038</v>
      </c>
      <c r="J34" s="94" t="s">
        <v>32</v>
      </c>
      <c r="K34" s="95"/>
      <c r="L34" s="66">
        <v>6</v>
      </c>
      <c r="M34" s="53">
        <f t="shared" si="2"/>
        <v>0.39583333333333315</v>
      </c>
      <c r="N34" s="66">
        <v>6</v>
      </c>
      <c r="O34" s="53">
        <f t="shared" si="3"/>
        <v>0.53680555555555498</v>
      </c>
      <c r="P34" s="66">
        <v>4</v>
      </c>
      <c r="Q34" s="56">
        <f t="shared" si="4"/>
        <v>0.70833333333333237</v>
      </c>
    </row>
    <row r="35" spans="1:17" ht="18.75" customHeight="1" x14ac:dyDescent="0.15">
      <c r="A35" s="96" t="s">
        <v>31</v>
      </c>
      <c r="B35" s="87"/>
      <c r="C35" s="37">
        <v>0</v>
      </c>
      <c r="D35" s="36">
        <f t="shared" si="5"/>
        <v>0.32847222222222222</v>
      </c>
      <c r="E35" s="61">
        <v>0</v>
      </c>
      <c r="F35" s="44">
        <f t="shared" si="0"/>
        <v>0.46388888888888852</v>
      </c>
      <c r="G35" s="61">
        <v>0</v>
      </c>
      <c r="H35" s="63">
        <f t="shared" si="1"/>
        <v>0.64236111111111038</v>
      </c>
      <c r="J35" s="96" t="s">
        <v>30</v>
      </c>
      <c r="K35" s="87"/>
      <c r="L35" s="37">
        <v>2</v>
      </c>
      <c r="M35" s="62">
        <f t="shared" si="2"/>
        <v>0.39722222222222203</v>
      </c>
      <c r="N35" s="61">
        <v>2</v>
      </c>
      <c r="O35" s="62">
        <f t="shared" si="3"/>
        <v>0.53819444444444386</v>
      </c>
      <c r="P35" s="61">
        <v>2</v>
      </c>
      <c r="Q35" s="56">
        <f t="shared" si="4"/>
        <v>0.70972222222222126</v>
      </c>
    </row>
    <row r="36" spans="1:17" ht="18.75" customHeight="1" x14ac:dyDescent="0.15">
      <c r="A36" s="94" t="s">
        <v>28</v>
      </c>
      <c r="B36" s="95"/>
      <c r="C36" s="41">
        <v>2</v>
      </c>
      <c r="D36" s="40">
        <f t="shared" si="5"/>
        <v>0.3298611111111111</v>
      </c>
      <c r="E36" s="59">
        <v>2</v>
      </c>
      <c r="F36" s="67">
        <f t="shared" si="0"/>
        <v>0.4652777777777774</v>
      </c>
      <c r="G36" s="59">
        <v>2</v>
      </c>
      <c r="H36" s="60">
        <f t="shared" si="1"/>
        <v>0.64374999999999927</v>
      </c>
      <c r="J36" s="94" t="s">
        <v>27</v>
      </c>
      <c r="K36" s="95"/>
      <c r="L36" s="41">
        <v>1</v>
      </c>
      <c r="M36" s="53">
        <f t="shared" si="2"/>
        <v>0.39791666666666647</v>
      </c>
      <c r="N36" s="59">
        <v>1</v>
      </c>
      <c r="O36" s="53">
        <f t="shared" si="3"/>
        <v>0.53888888888888831</v>
      </c>
      <c r="P36" s="59">
        <v>1</v>
      </c>
      <c r="Q36" s="56">
        <f t="shared" si="4"/>
        <v>0.7104166666666657</v>
      </c>
    </row>
    <row r="37" spans="1:17" ht="18.75" customHeight="1" thickBot="1" x14ac:dyDescent="0.2">
      <c r="A37" s="96" t="s">
        <v>26</v>
      </c>
      <c r="B37" s="87"/>
      <c r="C37" s="37">
        <v>2</v>
      </c>
      <c r="D37" s="36">
        <f t="shared" si="5"/>
        <v>0.33124999999999999</v>
      </c>
      <c r="E37" s="61">
        <v>2</v>
      </c>
      <c r="F37" s="44">
        <f t="shared" si="0"/>
        <v>0.46666666666666629</v>
      </c>
      <c r="G37" s="61">
        <v>2</v>
      </c>
      <c r="H37" s="63">
        <f t="shared" si="1"/>
        <v>0.64513888888888815</v>
      </c>
      <c r="J37" s="96" t="s">
        <v>54</v>
      </c>
      <c r="K37" s="87"/>
      <c r="L37" s="37">
        <v>0</v>
      </c>
      <c r="M37" s="62">
        <f t="shared" si="2"/>
        <v>0.39791666666666647</v>
      </c>
      <c r="N37" s="61">
        <v>0</v>
      </c>
      <c r="O37" s="53">
        <f t="shared" si="3"/>
        <v>0.53888888888888831</v>
      </c>
      <c r="P37" s="61">
        <v>0</v>
      </c>
      <c r="Q37" s="56">
        <f t="shared" si="4"/>
        <v>0.7104166666666657</v>
      </c>
    </row>
    <row r="38" spans="1:17" ht="18.75" customHeight="1" thickBot="1" x14ac:dyDescent="0.2">
      <c r="A38" s="101" t="s">
        <v>56</v>
      </c>
      <c r="B38" s="102"/>
      <c r="C38" s="41">
        <v>2</v>
      </c>
      <c r="D38" s="40">
        <f t="shared" si="5"/>
        <v>0.33263888888888887</v>
      </c>
      <c r="E38" s="59">
        <v>2</v>
      </c>
      <c r="F38" s="67">
        <f t="shared" si="0"/>
        <v>0.46805555555555517</v>
      </c>
      <c r="G38" s="59">
        <v>2</v>
      </c>
      <c r="H38" s="60">
        <f t="shared" si="1"/>
        <v>0.64652777777777704</v>
      </c>
      <c r="J38" s="101" t="s">
        <v>56</v>
      </c>
      <c r="K38" s="102"/>
      <c r="L38" s="59">
        <v>1</v>
      </c>
      <c r="M38" s="74">
        <f t="shared" si="2"/>
        <v>0.39861111111111092</v>
      </c>
      <c r="N38" s="77">
        <v>1</v>
      </c>
      <c r="O38" s="78">
        <f t="shared" si="3"/>
        <v>0.53958333333333275</v>
      </c>
      <c r="P38" s="77">
        <v>1</v>
      </c>
      <c r="Q38" s="76">
        <f t="shared" si="4"/>
        <v>0.71111111111111014</v>
      </c>
    </row>
    <row r="39" spans="1:17" ht="18.75" customHeight="1" x14ac:dyDescent="0.15">
      <c r="A39" s="96" t="s">
        <v>22</v>
      </c>
      <c r="B39" s="87"/>
      <c r="C39" s="37">
        <v>2</v>
      </c>
      <c r="D39" s="36">
        <f t="shared" si="5"/>
        <v>0.33402777777777776</v>
      </c>
      <c r="E39" s="61">
        <v>2</v>
      </c>
      <c r="F39" s="44">
        <f t="shared" si="0"/>
        <v>0.46944444444444405</v>
      </c>
      <c r="G39" s="61">
        <v>2</v>
      </c>
      <c r="H39" s="63">
        <f t="shared" si="1"/>
        <v>0.64791666666666592</v>
      </c>
      <c r="J39" s="92" t="s">
        <v>22</v>
      </c>
      <c r="K39" s="93"/>
      <c r="L39" s="61">
        <v>2</v>
      </c>
      <c r="M39" s="62">
        <f t="shared" si="2"/>
        <v>0.3999999999999998</v>
      </c>
      <c r="N39" s="66">
        <v>2</v>
      </c>
      <c r="O39" s="53">
        <f t="shared" si="3"/>
        <v>0.54097222222222163</v>
      </c>
      <c r="P39" s="66">
        <v>2</v>
      </c>
      <c r="Q39" s="63">
        <f t="shared" si="4"/>
        <v>0.71249999999999902</v>
      </c>
    </row>
    <row r="40" spans="1:17" ht="18.75" customHeight="1" thickBot="1" x14ac:dyDescent="0.2">
      <c r="A40" s="94" t="s">
        <v>20</v>
      </c>
      <c r="B40" s="95"/>
      <c r="C40" s="41">
        <v>0</v>
      </c>
      <c r="D40" s="40">
        <f t="shared" si="5"/>
        <v>0.33402777777777776</v>
      </c>
      <c r="E40" s="59">
        <v>0</v>
      </c>
      <c r="F40" s="67">
        <f t="shared" si="0"/>
        <v>0.46944444444444405</v>
      </c>
      <c r="G40" s="59">
        <v>0</v>
      </c>
      <c r="H40" s="60">
        <f t="shared" si="1"/>
        <v>0.64791666666666592</v>
      </c>
      <c r="J40" s="97" t="s">
        <v>20</v>
      </c>
      <c r="K40" s="98"/>
      <c r="L40" s="59">
        <v>0</v>
      </c>
      <c r="M40" s="53">
        <f t="shared" si="2"/>
        <v>0.3999999999999998</v>
      </c>
      <c r="N40" s="59">
        <v>0</v>
      </c>
      <c r="O40" s="53">
        <f t="shared" si="3"/>
        <v>0.54097222222222163</v>
      </c>
      <c r="P40" s="59">
        <v>0</v>
      </c>
      <c r="Q40" s="63">
        <f t="shared" si="4"/>
        <v>0.71249999999999902</v>
      </c>
    </row>
    <row r="41" spans="1:17" ht="18.75" customHeight="1" thickBot="1" x14ac:dyDescent="0.2">
      <c r="A41" s="103" t="s">
        <v>0</v>
      </c>
      <c r="B41" s="104"/>
      <c r="C41" s="68">
        <v>2</v>
      </c>
      <c r="D41" s="69">
        <f t="shared" si="5"/>
        <v>0.33541666666666664</v>
      </c>
      <c r="E41" s="57">
        <v>5</v>
      </c>
      <c r="F41" s="51">
        <f t="shared" si="0"/>
        <v>0.47291666666666626</v>
      </c>
      <c r="G41" s="57">
        <v>5</v>
      </c>
      <c r="H41" s="58">
        <f t="shared" si="1"/>
        <v>0.65138888888888813</v>
      </c>
      <c r="J41" s="99" t="s">
        <v>0</v>
      </c>
      <c r="K41" s="100"/>
      <c r="L41" s="57">
        <v>3</v>
      </c>
      <c r="M41" s="51">
        <f t="shared" si="2"/>
        <v>0.40208333333333313</v>
      </c>
      <c r="N41" s="57">
        <v>3</v>
      </c>
      <c r="O41" s="51">
        <f t="shared" si="3"/>
        <v>0.54305555555555496</v>
      </c>
      <c r="P41" s="57">
        <v>1</v>
      </c>
      <c r="Q41" s="58">
        <f t="shared" si="4"/>
        <v>0.71319444444444346</v>
      </c>
    </row>
    <row r="42" spans="1:17" ht="18.75" customHeight="1" x14ac:dyDescent="0.15">
      <c r="A42" s="94" t="s">
        <v>1</v>
      </c>
      <c r="B42" s="95"/>
      <c r="C42" s="41">
        <v>2</v>
      </c>
      <c r="D42" s="40">
        <f t="shared" si="5"/>
        <v>0.33680555555555552</v>
      </c>
      <c r="E42" s="41">
        <v>2</v>
      </c>
      <c r="F42" s="53">
        <f t="shared" si="0"/>
        <v>0.47430555555555515</v>
      </c>
      <c r="G42" s="41">
        <v>2</v>
      </c>
      <c r="H42" s="60">
        <f t="shared" si="1"/>
        <v>0.65277777777777701</v>
      </c>
      <c r="J42" s="97" t="s">
        <v>1</v>
      </c>
      <c r="K42" s="98"/>
      <c r="L42" s="59">
        <v>2</v>
      </c>
      <c r="M42" s="53">
        <f t="shared" si="2"/>
        <v>0.40347222222222201</v>
      </c>
      <c r="N42" s="59">
        <v>2</v>
      </c>
      <c r="O42" s="53">
        <f t="shared" si="3"/>
        <v>0.54444444444444384</v>
      </c>
      <c r="P42" s="59">
        <v>2</v>
      </c>
      <c r="Q42" s="63">
        <f t="shared" si="4"/>
        <v>0.71458333333333235</v>
      </c>
    </row>
    <row r="43" spans="1:17" ht="18.75" customHeight="1" thickBot="1" x14ac:dyDescent="0.2">
      <c r="A43" s="96" t="s">
        <v>3</v>
      </c>
      <c r="B43" s="87"/>
      <c r="C43" s="66">
        <v>2</v>
      </c>
      <c r="D43" s="36">
        <f t="shared" si="5"/>
        <v>0.33819444444444441</v>
      </c>
      <c r="E43" s="66">
        <v>2</v>
      </c>
      <c r="F43" s="62">
        <f t="shared" si="0"/>
        <v>0.47569444444444403</v>
      </c>
      <c r="G43" s="66">
        <v>2</v>
      </c>
      <c r="H43" s="63">
        <f t="shared" si="1"/>
        <v>0.6541666666666659</v>
      </c>
      <c r="J43" s="92" t="s">
        <v>3</v>
      </c>
      <c r="K43" s="93"/>
      <c r="L43" s="66">
        <v>2</v>
      </c>
      <c r="M43" s="62">
        <f t="shared" si="2"/>
        <v>0.40486111111111089</v>
      </c>
      <c r="N43" s="66">
        <v>2</v>
      </c>
      <c r="O43" s="62">
        <f t="shared" si="3"/>
        <v>0.54583333333333273</v>
      </c>
      <c r="P43" s="66">
        <v>1</v>
      </c>
      <c r="Q43" s="63">
        <f t="shared" si="4"/>
        <v>0.71527777777777679</v>
      </c>
    </row>
    <row r="44" spans="1:17" ht="18.75" customHeight="1" x14ac:dyDescent="0.15">
      <c r="A44" s="94" t="s">
        <v>4</v>
      </c>
      <c r="B44" s="95"/>
      <c r="C44" s="41">
        <v>1</v>
      </c>
      <c r="D44" s="40">
        <f t="shared" si="5"/>
        <v>0.33888888888888885</v>
      </c>
      <c r="E44" s="41">
        <v>1</v>
      </c>
      <c r="F44" s="53">
        <f t="shared" si="0"/>
        <v>0.47638888888888847</v>
      </c>
      <c r="G44" s="41">
        <v>1</v>
      </c>
      <c r="H44" s="60">
        <f t="shared" si="1"/>
        <v>0.65486111111111034</v>
      </c>
      <c r="J44" s="97" t="s">
        <v>4</v>
      </c>
      <c r="K44" s="98"/>
      <c r="L44" s="59">
        <v>1</v>
      </c>
      <c r="M44" s="53">
        <f t="shared" si="2"/>
        <v>0.40555555555555534</v>
      </c>
      <c r="N44" s="79">
        <v>1</v>
      </c>
      <c r="O44" s="53">
        <f t="shared" si="3"/>
        <v>0.54652777777777717</v>
      </c>
      <c r="P44" s="80"/>
      <c r="Q44" s="90" t="s">
        <v>57</v>
      </c>
    </row>
    <row r="45" spans="1:17" ht="18.75" customHeight="1" thickBot="1" x14ac:dyDescent="0.2">
      <c r="A45" s="96" t="s">
        <v>5</v>
      </c>
      <c r="B45" s="87"/>
      <c r="C45" s="37">
        <v>1</v>
      </c>
      <c r="D45" s="36">
        <f t="shared" si="5"/>
        <v>0.33958333333333329</v>
      </c>
      <c r="E45" s="37">
        <v>1</v>
      </c>
      <c r="F45" s="62">
        <f t="shared" si="0"/>
        <v>0.47708333333333292</v>
      </c>
      <c r="G45" s="37">
        <v>1</v>
      </c>
      <c r="H45" s="63">
        <f t="shared" si="1"/>
        <v>0.65555555555555478</v>
      </c>
      <c r="J45" s="92" t="s">
        <v>5</v>
      </c>
      <c r="K45" s="93"/>
      <c r="L45" s="61">
        <v>1</v>
      </c>
      <c r="M45" s="62">
        <f t="shared" si="2"/>
        <v>0.40624999999999978</v>
      </c>
      <c r="N45" s="81">
        <v>1</v>
      </c>
      <c r="O45" s="62">
        <f t="shared" si="3"/>
        <v>0.54722222222222161</v>
      </c>
      <c r="P45" s="80"/>
      <c r="Q45" s="91"/>
    </row>
    <row r="46" spans="1:17" ht="18.75" customHeight="1" x14ac:dyDescent="0.15">
      <c r="A46" s="94" t="s">
        <v>7</v>
      </c>
      <c r="B46" s="95"/>
      <c r="C46" s="41">
        <v>2</v>
      </c>
      <c r="D46" s="40">
        <f t="shared" si="5"/>
        <v>0.34097222222222218</v>
      </c>
      <c r="E46" s="41">
        <v>2</v>
      </c>
      <c r="F46" s="53">
        <f t="shared" si="0"/>
        <v>0.4784722222222218</v>
      </c>
      <c r="G46" s="41">
        <v>2</v>
      </c>
      <c r="H46" s="60">
        <f t="shared" si="1"/>
        <v>0.65694444444444366</v>
      </c>
      <c r="J46" s="97" t="s">
        <v>7</v>
      </c>
      <c r="K46" s="98"/>
      <c r="L46" s="59">
        <v>2</v>
      </c>
      <c r="M46" s="53">
        <f t="shared" si="2"/>
        <v>0.40763888888888866</v>
      </c>
      <c r="N46" s="79">
        <v>2</v>
      </c>
      <c r="O46" s="53">
        <f t="shared" si="3"/>
        <v>0.54861111111111049</v>
      </c>
      <c r="P46" s="82"/>
      <c r="Q46" s="83"/>
    </row>
    <row r="47" spans="1:17" ht="18.75" customHeight="1" x14ac:dyDescent="0.15">
      <c r="A47" s="96" t="s">
        <v>18</v>
      </c>
      <c r="B47" s="87"/>
      <c r="C47" s="70"/>
      <c r="D47" s="42"/>
      <c r="E47" s="41">
        <v>2</v>
      </c>
      <c r="F47" s="62">
        <f t="shared" si="0"/>
        <v>0.47986111111111068</v>
      </c>
      <c r="G47" s="70"/>
      <c r="H47" s="48"/>
      <c r="J47" s="92" t="s">
        <v>17</v>
      </c>
      <c r="K47" s="93"/>
      <c r="L47" s="61">
        <v>2</v>
      </c>
      <c r="M47" s="62">
        <f t="shared" si="2"/>
        <v>0.40902777777777755</v>
      </c>
      <c r="N47" s="81">
        <v>2</v>
      </c>
      <c r="O47" s="62">
        <f t="shared" si="3"/>
        <v>0.54999999999999938</v>
      </c>
      <c r="P47" s="82"/>
      <c r="Q47" s="83"/>
    </row>
    <row r="48" spans="1:17" ht="18.75" customHeight="1" thickBot="1" x14ac:dyDescent="0.2">
      <c r="A48" s="94" t="s">
        <v>10</v>
      </c>
      <c r="B48" s="95"/>
      <c r="C48" s="41">
        <v>2</v>
      </c>
      <c r="D48" s="40">
        <f>D46+TIME(0,C48,0)</f>
        <v>0.34236111111111106</v>
      </c>
      <c r="E48" s="59">
        <v>4</v>
      </c>
      <c r="F48" s="53">
        <f t="shared" si="0"/>
        <v>0.48263888888888845</v>
      </c>
      <c r="G48" s="59">
        <v>2</v>
      </c>
      <c r="H48" s="60">
        <f>H46+TIME(0,G48,0)</f>
        <v>0.65833333333333255</v>
      </c>
      <c r="J48" s="97" t="s">
        <v>10</v>
      </c>
      <c r="K48" s="98"/>
      <c r="L48" s="59">
        <v>4</v>
      </c>
      <c r="M48" s="53">
        <f t="shared" si="2"/>
        <v>0.41180555555555531</v>
      </c>
      <c r="N48" s="79">
        <v>4</v>
      </c>
      <c r="O48" s="53">
        <f t="shared" si="3"/>
        <v>0.55277777777777715</v>
      </c>
      <c r="P48" s="82"/>
      <c r="Q48" s="83"/>
    </row>
    <row r="49" spans="1:17" ht="18.75" customHeight="1" thickBot="1" x14ac:dyDescent="0.2">
      <c r="A49" s="103" t="s">
        <v>9</v>
      </c>
      <c r="B49" s="104"/>
      <c r="C49" s="68">
        <v>0</v>
      </c>
      <c r="D49" s="69">
        <f>D48+TIME(0,C49,0)</f>
        <v>0.34236111111111106</v>
      </c>
      <c r="E49" s="71">
        <v>0</v>
      </c>
      <c r="F49" s="51">
        <f t="shared" si="0"/>
        <v>0.48263888888888845</v>
      </c>
      <c r="G49" s="71">
        <v>0</v>
      </c>
      <c r="H49" s="58">
        <f>H48+TIME(0,G49,0)</f>
        <v>0.65833333333333255</v>
      </c>
      <c r="J49" s="99" t="s">
        <v>9</v>
      </c>
      <c r="K49" s="100"/>
      <c r="L49" s="71">
        <v>0</v>
      </c>
      <c r="M49" s="51">
        <f t="shared" si="2"/>
        <v>0.41180555555555531</v>
      </c>
      <c r="N49" s="84">
        <v>0</v>
      </c>
      <c r="O49" s="51">
        <f t="shared" si="3"/>
        <v>0.55277777777777715</v>
      </c>
      <c r="P49" s="85"/>
      <c r="Q49" s="86"/>
    </row>
    <row r="50" spans="1:17" ht="18.75" customHeight="1" x14ac:dyDescent="0.15">
      <c r="B50" s="5"/>
      <c r="C50" s="6"/>
      <c r="D50" s="31"/>
      <c r="E50" s="32"/>
      <c r="F50" s="31"/>
      <c r="G50" s="33"/>
      <c r="H50" s="31"/>
      <c r="I50" s="4"/>
      <c r="J50" s="4"/>
      <c r="K50" s="5"/>
      <c r="L50" s="11">
        <f>SUM(L4:L49)</f>
        <v>76</v>
      </c>
      <c r="M50" s="11"/>
      <c r="N50" s="11">
        <f t="shared" ref="N50:P50" si="6">SUM(N4:N49)</f>
        <v>76</v>
      </c>
      <c r="O50" s="11"/>
      <c r="P50" s="11">
        <f t="shared" si="6"/>
        <v>61</v>
      </c>
      <c r="Q50" s="11"/>
    </row>
  </sheetData>
  <mergeCells count="102">
    <mergeCell ref="S3:V3"/>
    <mergeCell ref="A10:B10"/>
    <mergeCell ref="A9:B9"/>
    <mergeCell ref="A13:B13"/>
    <mergeCell ref="A12:B12"/>
    <mergeCell ref="A18:B18"/>
    <mergeCell ref="A17:B17"/>
    <mergeCell ref="A16:B16"/>
    <mergeCell ref="J1:K1"/>
    <mergeCell ref="J6:K6"/>
    <mergeCell ref="J8:K8"/>
    <mergeCell ref="J7:K7"/>
    <mergeCell ref="J10:K10"/>
    <mergeCell ref="J9:K9"/>
    <mergeCell ref="J18:K18"/>
    <mergeCell ref="J17:K17"/>
    <mergeCell ref="A2:B2"/>
    <mergeCell ref="A1:B1"/>
    <mergeCell ref="A6:B6"/>
    <mergeCell ref="A5:B5"/>
    <mergeCell ref="A4:B4"/>
    <mergeCell ref="A3:B3"/>
    <mergeCell ref="A7:B7"/>
    <mergeCell ref="A8:B8"/>
    <mergeCell ref="A11:B11"/>
    <mergeCell ref="A32:B32"/>
    <mergeCell ref="A31:B31"/>
    <mergeCell ref="A30:B30"/>
    <mergeCell ref="A29:B29"/>
    <mergeCell ref="A28:B28"/>
    <mergeCell ref="A27:B27"/>
    <mergeCell ref="A26:B26"/>
    <mergeCell ref="A14:B14"/>
    <mergeCell ref="A24:B24"/>
    <mergeCell ref="A23:B23"/>
    <mergeCell ref="A22:B22"/>
    <mergeCell ref="A21:B21"/>
    <mergeCell ref="A20:B20"/>
    <mergeCell ref="A19:B19"/>
    <mergeCell ref="J5:K5"/>
    <mergeCell ref="J4:K4"/>
    <mergeCell ref="J3:K3"/>
    <mergeCell ref="J2:K2"/>
    <mergeCell ref="A39:B39"/>
    <mergeCell ref="A38:B38"/>
    <mergeCell ref="A37:B37"/>
    <mergeCell ref="A36:B36"/>
    <mergeCell ref="A35:B35"/>
    <mergeCell ref="A42:B42"/>
    <mergeCell ref="A25:B25"/>
    <mergeCell ref="A47:B47"/>
    <mergeCell ref="A48:B48"/>
    <mergeCell ref="A49:B49"/>
    <mergeCell ref="A43:B43"/>
    <mergeCell ref="A44:B44"/>
    <mergeCell ref="A45:B45"/>
    <mergeCell ref="A46:B46"/>
    <mergeCell ref="A41:B41"/>
    <mergeCell ref="A40:B40"/>
    <mergeCell ref="A15:B15"/>
    <mergeCell ref="A34:B34"/>
    <mergeCell ref="A33:B33"/>
    <mergeCell ref="J11:K11"/>
    <mergeCell ref="J12:K12"/>
    <mergeCell ref="J13:K13"/>
    <mergeCell ref="J14:K14"/>
    <mergeCell ref="J15:K15"/>
    <mergeCell ref="J23:K23"/>
    <mergeCell ref="J22:K22"/>
    <mergeCell ref="J21:K21"/>
    <mergeCell ref="J20:K20"/>
    <mergeCell ref="J19:K19"/>
    <mergeCell ref="J49:K49"/>
    <mergeCell ref="J48:K48"/>
    <mergeCell ref="J47:K47"/>
    <mergeCell ref="J46:K46"/>
    <mergeCell ref="J45:K45"/>
    <mergeCell ref="J44:K44"/>
    <mergeCell ref="J16:K16"/>
    <mergeCell ref="J28:K28"/>
    <mergeCell ref="J27:K27"/>
    <mergeCell ref="J26:K26"/>
    <mergeCell ref="J25:K25"/>
    <mergeCell ref="J24:K24"/>
    <mergeCell ref="S14:V14"/>
    <mergeCell ref="S21:V21"/>
    <mergeCell ref="Q44:Q45"/>
    <mergeCell ref="J31:K31"/>
    <mergeCell ref="J30:K30"/>
    <mergeCell ref="J29:K29"/>
    <mergeCell ref="J37:K37"/>
    <mergeCell ref="J36:K36"/>
    <mergeCell ref="J35:K35"/>
    <mergeCell ref="J34:K34"/>
    <mergeCell ref="J33:K33"/>
    <mergeCell ref="J32:K32"/>
    <mergeCell ref="J43:K43"/>
    <mergeCell ref="J42:K42"/>
    <mergeCell ref="J41:K41"/>
    <mergeCell ref="J40:K40"/>
    <mergeCell ref="J39:K39"/>
    <mergeCell ref="J38:K38"/>
  </mergeCells>
  <phoneticPr fontId="3"/>
  <pageMargins left="0.78740157480314965" right="0" top="0.39370078740157483" bottom="0" header="0.31496062992125984" footer="0.51181102362204722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selection activeCell="G15" sqref="G15"/>
    </sheetView>
  </sheetViews>
  <sheetFormatPr defaultRowHeight="13.5" x14ac:dyDescent="0.15"/>
  <cols>
    <col min="1" max="1" width="15.125" bestFit="1" customWidth="1"/>
    <col min="2" max="4" width="10" style="113" customWidth="1"/>
  </cols>
  <sheetData>
    <row r="1" spans="1:4" x14ac:dyDescent="0.15">
      <c r="A1" s="115" t="s">
        <v>52</v>
      </c>
      <c r="B1" s="113" t="s">
        <v>48</v>
      </c>
      <c r="C1" s="113" t="s">
        <v>49</v>
      </c>
      <c r="D1" s="113" t="s">
        <v>50</v>
      </c>
    </row>
    <row r="2" spans="1:4" x14ac:dyDescent="0.15">
      <c r="A2" t="s">
        <v>9</v>
      </c>
      <c r="B2" s="114"/>
      <c r="C2" s="116">
        <v>0.42916666666666642</v>
      </c>
      <c r="D2" s="113">
        <v>0.60763888888888828</v>
      </c>
    </row>
    <row r="3" spans="1:4" x14ac:dyDescent="0.15">
      <c r="A3" t="s">
        <v>10</v>
      </c>
      <c r="B3" s="114"/>
      <c r="C3" s="116">
        <v>0.42916666666666642</v>
      </c>
      <c r="D3" s="113">
        <v>0.60763888888888828</v>
      </c>
    </row>
    <row r="4" spans="1:4" x14ac:dyDescent="0.15">
      <c r="A4" t="s">
        <v>59</v>
      </c>
      <c r="B4" s="114"/>
      <c r="C4" s="116">
        <v>0.43194444444444419</v>
      </c>
      <c r="D4" s="113">
        <v>0.61041666666666605</v>
      </c>
    </row>
    <row r="5" spans="1:4" x14ac:dyDescent="0.15">
      <c r="A5" t="s">
        <v>7</v>
      </c>
      <c r="B5" s="114"/>
      <c r="C5" s="116">
        <v>0.43333333333333307</v>
      </c>
      <c r="D5" s="113">
        <v>0.61180555555555494</v>
      </c>
    </row>
    <row r="6" spans="1:4" x14ac:dyDescent="0.15">
      <c r="A6" t="s">
        <v>5</v>
      </c>
      <c r="B6" s="114"/>
      <c r="C6" s="116">
        <v>0.43472222222222195</v>
      </c>
      <c r="D6" s="113">
        <v>0.61319444444444382</v>
      </c>
    </row>
    <row r="7" spans="1:4" x14ac:dyDescent="0.15">
      <c r="A7" t="s">
        <v>4</v>
      </c>
      <c r="B7" s="114"/>
      <c r="C7" s="116">
        <v>0.4354166666666664</v>
      </c>
      <c r="D7" s="113">
        <v>0.61388888888888826</v>
      </c>
    </row>
    <row r="8" spans="1:4" x14ac:dyDescent="0.15">
      <c r="A8" t="s">
        <v>60</v>
      </c>
      <c r="B8" s="114"/>
      <c r="C8" s="116">
        <v>0.43611111111111084</v>
      </c>
      <c r="D8" s="113">
        <v>0.6145833333333327</v>
      </c>
    </row>
    <row r="9" spans="1:4" x14ac:dyDescent="0.15">
      <c r="A9" t="s">
        <v>1</v>
      </c>
      <c r="B9" s="114"/>
      <c r="C9" s="116">
        <v>0.43680555555555528</v>
      </c>
      <c r="D9" s="113">
        <v>0.61527777777777715</v>
      </c>
    </row>
    <row r="10" spans="1:4" x14ac:dyDescent="0.15">
      <c r="A10" t="s">
        <v>0</v>
      </c>
      <c r="B10" s="114"/>
      <c r="C10" s="116">
        <v>0.43888888888888861</v>
      </c>
      <c r="D10" s="116">
        <v>0.61736111111111047</v>
      </c>
    </row>
    <row r="11" spans="1:4" x14ac:dyDescent="0.15">
      <c r="A11" t="s">
        <v>20</v>
      </c>
      <c r="B11" s="114"/>
      <c r="C11" s="116">
        <v>0.43958333333333305</v>
      </c>
      <c r="D11" s="116">
        <v>0.61805555555555491</v>
      </c>
    </row>
    <row r="12" spans="1:4" x14ac:dyDescent="0.15">
      <c r="A12" t="s">
        <v>22</v>
      </c>
      <c r="B12" s="114"/>
      <c r="C12" s="116">
        <v>0.43958333333333305</v>
      </c>
      <c r="D12" s="116">
        <v>0.61805555555555491</v>
      </c>
    </row>
    <row r="13" spans="1:4" x14ac:dyDescent="0.15">
      <c r="A13" t="s">
        <v>58</v>
      </c>
      <c r="B13" s="114"/>
      <c r="C13" s="116">
        <v>0.44097222222222193</v>
      </c>
      <c r="D13" s="116">
        <v>0.6194444444444438</v>
      </c>
    </row>
    <row r="14" spans="1:4" x14ac:dyDescent="0.15">
      <c r="A14" t="s">
        <v>54</v>
      </c>
      <c r="B14" s="114"/>
      <c r="C14" s="116">
        <v>0.44166666666666637</v>
      </c>
      <c r="D14" s="116">
        <v>0.62013888888888824</v>
      </c>
    </row>
    <row r="15" spans="1:4" x14ac:dyDescent="0.15">
      <c r="A15" t="s">
        <v>27</v>
      </c>
      <c r="B15" s="114"/>
      <c r="C15" s="116">
        <v>0.44236111111111082</v>
      </c>
      <c r="D15" s="116">
        <v>0.62083333333333268</v>
      </c>
    </row>
    <row r="16" spans="1:4" x14ac:dyDescent="0.15">
      <c r="A16" t="s">
        <v>30</v>
      </c>
      <c r="B16" s="114"/>
      <c r="C16" s="116">
        <v>0.44305555555555526</v>
      </c>
      <c r="D16" s="116">
        <v>0.62152777777777712</v>
      </c>
    </row>
    <row r="17" spans="1:4" x14ac:dyDescent="0.15">
      <c r="A17" t="s">
        <v>32</v>
      </c>
      <c r="B17" s="114"/>
      <c r="C17" s="116">
        <v>0.44652777777777747</v>
      </c>
      <c r="D17" s="116">
        <v>0.62499999999999933</v>
      </c>
    </row>
    <row r="18" spans="1:4" x14ac:dyDescent="0.15">
      <c r="A18" t="s">
        <v>34</v>
      </c>
      <c r="B18" s="114"/>
      <c r="C18" s="116">
        <v>0.44791666666666635</v>
      </c>
      <c r="D18" s="116">
        <v>0.62638888888888822</v>
      </c>
    </row>
    <row r="19" spans="1:4" x14ac:dyDescent="0.15">
      <c r="A19" t="s">
        <v>36</v>
      </c>
      <c r="B19" s="114"/>
      <c r="C19" s="116">
        <v>0.44791666666666635</v>
      </c>
      <c r="D19" s="116">
        <v>0.62638888888888822</v>
      </c>
    </row>
    <row r="20" spans="1:4" x14ac:dyDescent="0.15">
      <c r="A20" t="s">
        <v>47</v>
      </c>
      <c r="B20" s="114"/>
      <c r="C20" s="116">
        <v>0.44861111111111079</v>
      </c>
      <c r="D20" s="116">
        <v>0.62708333333333266</v>
      </c>
    </row>
    <row r="21" spans="1:4" x14ac:dyDescent="0.15">
      <c r="A21" t="s">
        <v>40</v>
      </c>
      <c r="B21" s="114"/>
      <c r="C21" s="116">
        <v>0.44999999999999968</v>
      </c>
      <c r="D21" s="116">
        <v>0.62847222222222154</v>
      </c>
    </row>
    <row r="22" spans="1:4" x14ac:dyDescent="0.15">
      <c r="A22" t="s">
        <v>41</v>
      </c>
      <c r="B22" s="114"/>
      <c r="C22" s="116">
        <v>0.44999999999999968</v>
      </c>
      <c r="D22" s="116">
        <v>0.62847222222222154</v>
      </c>
    </row>
    <row r="23" spans="1:4" x14ac:dyDescent="0.15">
      <c r="A23" t="s">
        <v>43</v>
      </c>
      <c r="B23" s="114"/>
      <c r="C23" s="116">
        <v>0.45138888888888856</v>
      </c>
      <c r="D23" s="116">
        <v>0.62986111111111043</v>
      </c>
    </row>
    <row r="24" spans="1:4" x14ac:dyDescent="0.15">
      <c r="A24" t="s">
        <v>45</v>
      </c>
      <c r="B24" s="114"/>
      <c r="C24" s="116">
        <v>0.452083333333333</v>
      </c>
      <c r="D24" s="116">
        <v>0.63055555555555487</v>
      </c>
    </row>
    <row r="25" spans="1:4" x14ac:dyDescent="0.15">
      <c r="A25" t="s">
        <v>46</v>
      </c>
      <c r="B25" s="114"/>
      <c r="C25" s="116">
        <v>0.45277777777777745</v>
      </c>
      <c r="D25" s="116">
        <v>0.63124999999999931</v>
      </c>
    </row>
    <row r="26" spans="1:4" x14ac:dyDescent="0.15">
      <c r="A26" t="s">
        <v>44</v>
      </c>
      <c r="B26" s="114"/>
      <c r="C26" s="116">
        <v>0.45277777777777745</v>
      </c>
      <c r="D26" s="116">
        <v>0.63124999999999931</v>
      </c>
    </row>
    <row r="27" spans="1:4" x14ac:dyDescent="0.15">
      <c r="A27" t="s">
        <v>42</v>
      </c>
      <c r="B27" s="114"/>
      <c r="C27" s="116">
        <v>0.45347222222222189</v>
      </c>
      <c r="D27" s="116">
        <v>0.63194444444444375</v>
      </c>
    </row>
    <row r="28" spans="1:4" x14ac:dyDescent="0.15">
      <c r="A28" t="s">
        <v>19</v>
      </c>
      <c r="B28" s="113">
        <v>0.32291666666666669</v>
      </c>
      <c r="C28" s="113">
        <v>0.45833333333333298</v>
      </c>
      <c r="D28" s="116">
        <v>0.63680555555555485</v>
      </c>
    </row>
    <row r="29" spans="1:4" x14ac:dyDescent="0.15">
      <c r="A29" t="s">
        <v>39</v>
      </c>
      <c r="B29" s="113">
        <v>0.32500000000000001</v>
      </c>
      <c r="C29" s="113">
        <v>0.46041666666666631</v>
      </c>
      <c r="D29" s="116">
        <v>0.63888888888888817</v>
      </c>
    </row>
    <row r="30" spans="1:4" x14ac:dyDescent="0.15">
      <c r="A30" t="s">
        <v>38</v>
      </c>
      <c r="B30" s="113">
        <v>0.32569444444444445</v>
      </c>
      <c r="C30" s="113">
        <v>0.46111111111111075</v>
      </c>
      <c r="D30" s="116">
        <v>0.63958333333333262</v>
      </c>
    </row>
    <row r="31" spans="1:4" x14ac:dyDescent="0.15">
      <c r="A31" t="s">
        <v>37</v>
      </c>
      <c r="B31" s="113">
        <v>0.3263888888888889</v>
      </c>
      <c r="C31" s="113">
        <v>0.46180555555555519</v>
      </c>
      <c r="D31" s="116">
        <v>0.64027777777777706</v>
      </c>
    </row>
    <row r="32" spans="1:4" x14ac:dyDescent="0.15">
      <c r="A32" t="s">
        <v>35</v>
      </c>
      <c r="B32" s="113">
        <v>0.32708333333333334</v>
      </c>
      <c r="C32" s="113">
        <v>0.46249999999999963</v>
      </c>
      <c r="D32" s="116">
        <v>0.6409722222222215</v>
      </c>
    </row>
    <row r="33" spans="1:4" x14ac:dyDescent="0.15">
      <c r="A33" t="s">
        <v>33</v>
      </c>
      <c r="B33" s="113">
        <v>0.32847222222222222</v>
      </c>
      <c r="C33" s="113">
        <v>0.46388888888888852</v>
      </c>
      <c r="D33" s="116">
        <v>0.64236111111111038</v>
      </c>
    </row>
    <row r="34" spans="1:4" x14ac:dyDescent="0.15">
      <c r="A34" t="s">
        <v>31</v>
      </c>
      <c r="B34" s="113">
        <v>0.32847222222222222</v>
      </c>
      <c r="C34" s="113">
        <v>0.46388888888888852</v>
      </c>
      <c r="D34" s="116">
        <v>0.64236111111111038</v>
      </c>
    </row>
    <row r="35" spans="1:4" x14ac:dyDescent="0.15">
      <c r="A35" t="s">
        <v>28</v>
      </c>
      <c r="B35" s="113">
        <v>0.3298611111111111</v>
      </c>
      <c r="C35" s="113">
        <v>0.4652777777777774</v>
      </c>
      <c r="D35" s="116">
        <v>0.64374999999999927</v>
      </c>
    </row>
    <row r="36" spans="1:4" x14ac:dyDescent="0.15">
      <c r="A36" t="s">
        <v>26</v>
      </c>
      <c r="B36" s="113">
        <v>0.33124999999999999</v>
      </c>
      <c r="C36" s="113">
        <v>0.46666666666666629</v>
      </c>
      <c r="D36" s="116">
        <v>0.64513888888888815</v>
      </c>
    </row>
    <row r="37" spans="1:4" x14ac:dyDescent="0.15">
      <c r="A37" t="s">
        <v>56</v>
      </c>
      <c r="B37" s="113">
        <v>0.33263888888888887</v>
      </c>
      <c r="C37" s="113">
        <v>0.46805555555555517</v>
      </c>
      <c r="D37" s="116">
        <v>0.64652777777777704</v>
      </c>
    </row>
    <row r="38" spans="1:4" x14ac:dyDescent="0.15">
      <c r="A38" t="s">
        <v>22</v>
      </c>
      <c r="B38" s="113">
        <v>0.33402777777777776</v>
      </c>
      <c r="C38" s="113">
        <v>0.46944444444444405</v>
      </c>
      <c r="D38" s="116">
        <v>0.64791666666666592</v>
      </c>
    </row>
    <row r="39" spans="1:4" x14ac:dyDescent="0.15">
      <c r="A39" t="s">
        <v>20</v>
      </c>
      <c r="B39" s="113">
        <v>0.33402777777777776</v>
      </c>
      <c r="C39" s="113">
        <v>0.46944444444444405</v>
      </c>
      <c r="D39" s="116">
        <v>0.64791666666666592</v>
      </c>
    </row>
    <row r="40" spans="1:4" x14ac:dyDescent="0.15">
      <c r="A40" t="s">
        <v>0</v>
      </c>
      <c r="B40" s="113">
        <v>0.33541666666666664</v>
      </c>
      <c r="C40" s="116">
        <v>0.47291666666666626</v>
      </c>
      <c r="D40" s="116">
        <v>0.65138888888888813</v>
      </c>
    </row>
    <row r="41" spans="1:4" x14ac:dyDescent="0.15">
      <c r="A41" t="s">
        <v>1</v>
      </c>
      <c r="B41" s="113">
        <v>0.33680555555555552</v>
      </c>
      <c r="C41" s="116">
        <v>0.47430555555555515</v>
      </c>
      <c r="D41" s="116">
        <v>0.65277777777777701</v>
      </c>
    </row>
    <row r="42" spans="1:4" x14ac:dyDescent="0.15">
      <c r="A42" t="s">
        <v>60</v>
      </c>
      <c r="B42" s="113">
        <v>0.33819444444444441</v>
      </c>
      <c r="C42" s="116">
        <v>0.47569444444444403</v>
      </c>
      <c r="D42" s="116">
        <v>0.6541666666666659</v>
      </c>
    </row>
    <row r="43" spans="1:4" x14ac:dyDescent="0.15">
      <c r="A43" t="s">
        <v>4</v>
      </c>
      <c r="B43" s="113">
        <v>0.33888888888888885</v>
      </c>
      <c r="C43" s="116">
        <v>0.47638888888888847</v>
      </c>
      <c r="D43" s="116">
        <v>0.65486111111111034</v>
      </c>
    </row>
    <row r="44" spans="1:4" ht="19.5" customHeight="1" x14ac:dyDescent="0.15">
      <c r="A44" t="s">
        <v>5</v>
      </c>
      <c r="B44" s="113">
        <v>0.33958333333333329</v>
      </c>
      <c r="C44" s="116">
        <v>0.47708333333333292</v>
      </c>
      <c r="D44" s="116">
        <v>0.65555555555555478</v>
      </c>
    </row>
    <row r="45" spans="1:4" x14ac:dyDescent="0.15">
      <c r="A45" t="s">
        <v>7</v>
      </c>
      <c r="B45" s="113">
        <v>0.34097222222222218</v>
      </c>
      <c r="C45" s="116">
        <v>0.4784722222222218</v>
      </c>
      <c r="D45" s="116">
        <v>0.65694444444444366</v>
      </c>
    </row>
    <row r="46" spans="1:4" x14ac:dyDescent="0.15">
      <c r="A46" t="s">
        <v>18</v>
      </c>
      <c r="B46" s="114"/>
      <c r="C46" s="116">
        <v>0.47986111111111068</v>
      </c>
      <c r="D46" s="117"/>
    </row>
    <row r="47" spans="1:4" x14ac:dyDescent="0.15">
      <c r="A47" t="s">
        <v>10</v>
      </c>
      <c r="B47" s="113">
        <v>0.34236111111111106</v>
      </c>
      <c r="C47" s="116">
        <v>0.48263888888888845</v>
      </c>
      <c r="D47" s="116">
        <v>0.65833333333333255</v>
      </c>
    </row>
    <row r="48" spans="1:4" x14ac:dyDescent="0.15">
      <c r="A48" t="s">
        <v>9</v>
      </c>
      <c r="B48" s="113">
        <v>0.34236111111111106</v>
      </c>
      <c r="C48" s="116">
        <v>0.48263888888888845</v>
      </c>
      <c r="D48" s="116">
        <v>0.65833333333333255</v>
      </c>
    </row>
  </sheetData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G18" sqref="G18"/>
    </sheetView>
  </sheetViews>
  <sheetFormatPr defaultRowHeight="13.5" x14ac:dyDescent="0.15"/>
  <cols>
    <col min="1" max="1" width="15.125" bestFit="1" customWidth="1"/>
    <col min="2" max="4" width="10" customWidth="1"/>
  </cols>
  <sheetData>
    <row r="1" spans="1:4" x14ac:dyDescent="0.15">
      <c r="A1" t="s">
        <v>61</v>
      </c>
      <c r="B1" s="113" t="s">
        <v>48</v>
      </c>
      <c r="C1" s="113" t="s">
        <v>49</v>
      </c>
      <c r="D1" s="113" t="s">
        <v>50</v>
      </c>
    </row>
    <row r="2" spans="1:4" x14ac:dyDescent="0.15">
      <c r="A2" t="s">
        <v>9</v>
      </c>
      <c r="B2" s="116">
        <v>0.35902777777777772</v>
      </c>
      <c r="C2" s="116">
        <v>0.49999999999999956</v>
      </c>
      <c r="D2" s="116">
        <v>0.67291666666666583</v>
      </c>
    </row>
    <row r="3" spans="1:4" x14ac:dyDescent="0.15">
      <c r="A3" t="s">
        <v>10</v>
      </c>
      <c r="B3" s="116">
        <v>0.35902777777777772</v>
      </c>
      <c r="C3" s="116">
        <v>0.49999999999999956</v>
      </c>
      <c r="D3" s="116">
        <v>0.67291666666666583</v>
      </c>
    </row>
    <row r="4" spans="1:4" x14ac:dyDescent="0.15">
      <c r="A4" t="s">
        <v>18</v>
      </c>
      <c r="B4" s="116">
        <v>0.36180555555555549</v>
      </c>
      <c r="C4" s="116">
        <v>0.50277777777777732</v>
      </c>
      <c r="D4" s="116">
        <v>0.6756944444444436</v>
      </c>
    </row>
    <row r="5" spans="1:4" x14ac:dyDescent="0.15">
      <c r="A5" t="s">
        <v>7</v>
      </c>
      <c r="B5" s="116">
        <v>0.36319444444444438</v>
      </c>
      <c r="C5" s="116">
        <v>0.50416666666666621</v>
      </c>
      <c r="D5" s="116">
        <v>0.67708333333333248</v>
      </c>
    </row>
    <row r="6" spans="1:4" x14ac:dyDescent="0.15">
      <c r="A6" t="s">
        <v>5</v>
      </c>
      <c r="B6" s="116">
        <v>0.36458333333333326</v>
      </c>
      <c r="C6" s="116">
        <v>0.50555555555555509</v>
      </c>
      <c r="D6" s="116">
        <v>0.67847222222222137</v>
      </c>
    </row>
    <row r="7" spans="1:4" x14ac:dyDescent="0.15">
      <c r="A7" t="s">
        <v>4</v>
      </c>
      <c r="B7" s="116">
        <v>0.3652777777777777</v>
      </c>
      <c r="C7" s="116">
        <v>0.50624999999999953</v>
      </c>
      <c r="D7" s="116">
        <v>0.67916666666666581</v>
      </c>
    </row>
    <row r="8" spans="1:4" x14ac:dyDescent="0.15">
      <c r="A8" t="s">
        <v>60</v>
      </c>
      <c r="B8" s="116">
        <v>0.36597222222222214</v>
      </c>
      <c r="C8" s="116">
        <v>0.50694444444444398</v>
      </c>
      <c r="D8" s="116">
        <v>0.67986111111111025</v>
      </c>
    </row>
    <row r="9" spans="1:4" x14ac:dyDescent="0.15">
      <c r="A9" t="s">
        <v>1</v>
      </c>
      <c r="B9" s="116">
        <v>0.36666666666666659</v>
      </c>
      <c r="C9" s="116">
        <v>0.50763888888888842</v>
      </c>
      <c r="D9" s="116">
        <v>0.68055555555555469</v>
      </c>
    </row>
    <row r="10" spans="1:4" x14ac:dyDescent="0.15">
      <c r="A10" t="s">
        <v>0</v>
      </c>
      <c r="B10" s="116">
        <v>0.36874999999999991</v>
      </c>
      <c r="C10" s="116">
        <v>0.50972222222222174</v>
      </c>
      <c r="D10" s="116">
        <v>0.68263888888888802</v>
      </c>
    </row>
    <row r="11" spans="1:4" x14ac:dyDescent="0.15">
      <c r="A11" t="s">
        <v>20</v>
      </c>
      <c r="B11" s="116">
        <v>0.36944444444444435</v>
      </c>
      <c r="C11" s="116">
        <v>0.51041666666666619</v>
      </c>
      <c r="D11" s="116">
        <v>0.68333333333333246</v>
      </c>
    </row>
    <row r="12" spans="1:4" x14ac:dyDescent="0.15">
      <c r="A12" t="s">
        <v>22</v>
      </c>
      <c r="B12" s="116">
        <v>0.36944444444444435</v>
      </c>
      <c r="C12" s="116">
        <v>0.51041666666666619</v>
      </c>
      <c r="D12" s="116">
        <v>0.68333333333333246</v>
      </c>
    </row>
    <row r="13" spans="1:4" x14ac:dyDescent="0.15">
      <c r="A13" t="s">
        <v>58</v>
      </c>
      <c r="B13" s="116">
        <v>0.37083333333333324</v>
      </c>
      <c r="C13" s="116">
        <v>0.51180555555555507</v>
      </c>
      <c r="D13" s="116">
        <v>0.68472222222222134</v>
      </c>
    </row>
    <row r="14" spans="1:4" x14ac:dyDescent="0.15">
      <c r="A14" t="s">
        <v>26</v>
      </c>
      <c r="B14" s="116">
        <v>0.37222222222222212</v>
      </c>
      <c r="C14" s="116">
        <v>0.51319444444444395</v>
      </c>
      <c r="D14" s="116">
        <v>0.68611111111111023</v>
      </c>
    </row>
    <row r="15" spans="1:4" x14ac:dyDescent="0.15">
      <c r="A15" t="s">
        <v>28</v>
      </c>
      <c r="B15" s="116">
        <v>0.37361111111111101</v>
      </c>
      <c r="C15" s="116">
        <v>0.51458333333333284</v>
      </c>
      <c r="D15" s="116">
        <v>0.68749999999999911</v>
      </c>
    </row>
    <row r="16" spans="1:4" x14ac:dyDescent="0.15">
      <c r="A16" t="s">
        <v>31</v>
      </c>
      <c r="B16" s="116">
        <v>0.37499999999999989</v>
      </c>
      <c r="C16" s="116">
        <v>0.51597222222222172</v>
      </c>
      <c r="D16" s="116">
        <v>0.688888888888888</v>
      </c>
    </row>
    <row r="17" spans="1:4" x14ac:dyDescent="0.15">
      <c r="A17" t="s">
        <v>33</v>
      </c>
      <c r="B17" s="113">
        <v>0.37569444444444433</v>
      </c>
      <c r="C17" s="116">
        <v>0.51666666666666616</v>
      </c>
      <c r="D17" s="116">
        <v>0.68958333333333244</v>
      </c>
    </row>
    <row r="18" spans="1:4" x14ac:dyDescent="0.15">
      <c r="A18" t="s">
        <v>35</v>
      </c>
      <c r="B18" s="113">
        <v>0.37638888888888877</v>
      </c>
      <c r="C18" s="116">
        <v>0.51736111111111061</v>
      </c>
      <c r="D18" s="116">
        <v>0.69027777777777688</v>
      </c>
    </row>
    <row r="19" spans="1:4" x14ac:dyDescent="0.15">
      <c r="A19" t="s">
        <v>37</v>
      </c>
      <c r="B19" s="113">
        <v>0.37708333333333321</v>
      </c>
      <c r="C19" s="116">
        <v>0.51805555555555505</v>
      </c>
      <c r="D19" s="116">
        <v>0.69097222222222132</v>
      </c>
    </row>
    <row r="20" spans="1:4" x14ac:dyDescent="0.15">
      <c r="A20" t="s">
        <v>38</v>
      </c>
      <c r="B20" s="113">
        <v>0.37777777777777766</v>
      </c>
      <c r="C20" s="116">
        <v>0.51874999999999949</v>
      </c>
      <c r="D20" s="116">
        <v>0.69166666666666576</v>
      </c>
    </row>
    <row r="21" spans="1:4" x14ac:dyDescent="0.15">
      <c r="A21" t="s">
        <v>39</v>
      </c>
      <c r="B21" s="113">
        <v>0.37916666666666654</v>
      </c>
      <c r="C21" s="116">
        <v>0.52013888888888837</v>
      </c>
      <c r="D21" s="116">
        <v>0.69305555555555465</v>
      </c>
    </row>
    <row r="22" spans="1:4" x14ac:dyDescent="0.15">
      <c r="A22" t="s">
        <v>19</v>
      </c>
      <c r="B22" s="116">
        <v>0.38333333333333319</v>
      </c>
      <c r="C22" s="116">
        <v>0.52430555555555503</v>
      </c>
      <c r="D22" s="116">
        <v>0.6972222222222213</v>
      </c>
    </row>
    <row r="23" spans="1:4" x14ac:dyDescent="0.15">
      <c r="A23" t="s">
        <v>42</v>
      </c>
      <c r="B23" s="116">
        <v>0.3868055555555554</v>
      </c>
      <c r="C23" s="116">
        <v>0.52777777777777724</v>
      </c>
      <c r="D23" s="116">
        <v>0.70069444444444351</v>
      </c>
    </row>
    <row r="24" spans="1:4" x14ac:dyDescent="0.15">
      <c r="A24" t="s">
        <v>44</v>
      </c>
      <c r="B24" s="116">
        <v>0.38749999999999984</v>
      </c>
      <c r="C24" s="116">
        <v>0.52847222222222168</v>
      </c>
      <c r="D24" s="116">
        <v>0.70138888888888795</v>
      </c>
    </row>
    <row r="25" spans="1:4" x14ac:dyDescent="0.15">
      <c r="A25" t="s">
        <v>46</v>
      </c>
      <c r="B25" s="116">
        <v>0.38749999999999984</v>
      </c>
      <c r="C25" s="116">
        <v>0.52847222222222168</v>
      </c>
      <c r="D25" s="116">
        <v>0.70138888888888795</v>
      </c>
    </row>
    <row r="26" spans="1:4" x14ac:dyDescent="0.15">
      <c r="A26" t="s">
        <v>45</v>
      </c>
      <c r="B26" s="116">
        <v>0.38819444444444429</v>
      </c>
      <c r="C26" s="116">
        <v>0.52916666666666612</v>
      </c>
      <c r="D26" s="116">
        <v>0.70208333333333239</v>
      </c>
    </row>
    <row r="27" spans="1:4" x14ac:dyDescent="0.15">
      <c r="A27" t="s">
        <v>43</v>
      </c>
      <c r="B27" s="116">
        <v>0.38888888888888873</v>
      </c>
      <c r="C27" s="116">
        <v>0.52986111111111056</v>
      </c>
      <c r="D27" s="116">
        <v>0.70277777777777684</v>
      </c>
    </row>
    <row r="28" spans="1:4" x14ac:dyDescent="0.15">
      <c r="A28" t="s">
        <v>41</v>
      </c>
      <c r="B28" s="116">
        <v>0.38958333333333317</v>
      </c>
      <c r="C28" s="116">
        <v>0.530555555555555</v>
      </c>
      <c r="D28" s="116">
        <v>0.70347222222222128</v>
      </c>
    </row>
    <row r="29" spans="1:4" x14ac:dyDescent="0.15">
      <c r="A29" t="s">
        <v>40</v>
      </c>
      <c r="B29" s="116">
        <v>0.38958333333333317</v>
      </c>
      <c r="C29" s="116">
        <v>0.530555555555555</v>
      </c>
      <c r="D29" s="116">
        <v>0.70347222222222128</v>
      </c>
    </row>
    <row r="30" spans="1:4" x14ac:dyDescent="0.15">
      <c r="A30" t="s">
        <v>47</v>
      </c>
      <c r="B30" s="116">
        <v>0.39097222222222205</v>
      </c>
      <c r="C30" s="116">
        <v>0.53194444444444389</v>
      </c>
      <c r="D30" s="116">
        <v>0.70486111111111016</v>
      </c>
    </row>
    <row r="31" spans="1:4" x14ac:dyDescent="0.15">
      <c r="A31" t="s">
        <v>36</v>
      </c>
      <c r="B31" s="116">
        <v>0.3916666666666665</v>
      </c>
      <c r="C31" s="116">
        <v>0.53263888888888833</v>
      </c>
      <c r="D31" s="116">
        <v>0.7055555555555546</v>
      </c>
    </row>
    <row r="32" spans="1:4" x14ac:dyDescent="0.15">
      <c r="A32" t="s">
        <v>34</v>
      </c>
      <c r="B32" s="116">
        <v>0.3916666666666665</v>
      </c>
      <c r="C32" s="116">
        <v>0.53263888888888833</v>
      </c>
      <c r="D32" s="116">
        <v>0.7055555555555546</v>
      </c>
    </row>
    <row r="33" spans="1:4" x14ac:dyDescent="0.15">
      <c r="A33" t="s">
        <v>32</v>
      </c>
      <c r="B33" s="116">
        <v>0.39583333333333315</v>
      </c>
      <c r="C33" s="116">
        <v>0.53680555555555498</v>
      </c>
      <c r="D33" s="113">
        <v>0.70833333333333237</v>
      </c>
    </row>
    <row r="34" spans="1:4" x14ac:dyDescent="0.15">
      <c r="A34" t="s">
        <v>30</v>
      </c>
      <c r="B34" s="116">
        <v>0.39722222222222203</v>
      </c>
      <c r="C34" s="116">
        <v>0.53819444444444386</v>
      </c>
      <c r="D34" s="113">
        <v>0.70972222222222126</v>
      </c>
    </row>
    <row r="35" spans="1:4" x14ac:dyDescent="0.15">
      <c r="A35" t="s">
        <v>27</v>
      </c>
      <c r="B35" s="116">
        <v>0.39791666666666647</v>
      </c>
      <c r="C35" s="116">
        <v>0.53888888888888831</v>
      </c>
      <c r="D35" s="113">
        <v>0.7104166666666657</v>
      </c>
    </row>
    <row r="36" spans="1:4" x14ac:dyDescent="0.15">
      <c r="A36" t="s">
        <v>54</v>
      </c>
      <c r="B36" s="116">
        <v>0.39791666666666647</v>
      </c>
      <c r="C36" s="116">
        <v>0.53888888888888831</v>
      </c>
      <c r="D36" s="113">
        <v>0.7104166666666657</v>
      </c>
    </row>
    <row r="37" spans="1:4" x14ac:dyDescent="0.15">
      <c r="A37" t="s">
        <v>56</v>
      </c>
      <c r="B37" s="116">
        <v>0.39861111111111092</v>
      </c>
      <c r="C37" s="116">
        <v>0.53958333333333275</v>
      </c>
      <c r="D37" s="116">
        <v>0.71111111111111014</v>
      </c>
    </row>
    <row r="38" spans="1:4" x14ac:dyDescent="0.15">
      <c r="A38" t="s">
        <v>22</v>
      </c>
      <c r="B38" s="116">
        <v>0.3999999999999998</v>
      </c>
      <c r="C38" s="116">
        <v>0.54097222222222163</v>
      </c>
      <c r="D38" s="116">
        <v>0.71249999999999902</v>
      </c>
    </row>
    <row r="39" spans="1:4" x14ac:dyDescent="0.15">
      <c r="A39" t="s">
        <v>20</v>
      </c>
      <c r="B39" s="116">
        <v>0.3999999999999998</v>
      </c>
      <c r="C39" s="116">
        <v>0.54097222222222163</v>
      </c>
      <c r="D39" s="116">
        <v>0.71249999999999902</v>
      </c>
    </row>
    <row r="40" spans="1:4" x14ac:dyDescent="0.15">
      <c r="A40" t="s">
        <v>0</v>
      </c>
      <c r="B40" s="116">
        <v>0.40208333333333313</v>
      </c>
      <c r="C40" s="116">
        <v>0.54305555555555496</v>
      </c>
      <c r="D40" s="116">
        <v>0.71319444444444346</v>
      </c>
    </row>
    <row r="41" spans="1:4" x14ac:dyDescent="0.15">
      <c r="A41" t="s">
        <v>1</v>
      </c>
      <c r="B41" s="116">
        <v>0.40347222222222201</v>
      </c>
      <c r="C41" s="116">
        <v>0.54444444444444384</v>
      </c>
      <c r="D41" s="116">
        <v>0.71458333333333235</v>
      </c>
    </row>
    <row r="42" spans="1:4" x14ac:dyDescent="0.15">
      <c r="A42" t="s">
        <v>60</v>
      </c>
      <c r="B42" s="116">
        <v>0.40486111111111089</v>
      </c>
      <c r="C42" s="116">
        <v>0.54583333333333273</v>
      </c>
      <c r="D42" s="116">
        <v>0.71527777777777679</v>
      </c>
    </row>
    <row r="43" spans="1:4" x14ac:dyDescent="0.15">
      <c r="A43" t="s">
        <v>4</v>
      </c>
      <c r="B43" s="116">
        <v>0.40555555555555534</v>
      </c>
      <c r="C43" s="116">
        <v>0.54652777777777717</v>
      </c>
      <c r="D43" s="116" t="s">
        <v>62</v>
      </c>
    </row>
    <row r="44" spans="1:4" x14ac:dyDescent="0.15">
      <c r="A44" t="s">
        <v>5</v>
      </c>
      <c r="B44" s="116">
        <v>0.40624999999999978</v>
      </c>
      <c r="C44" s="116">
        <v>0.54722222222222161</v>
      </c>
      <c r="D44" s="113"/>
    </row>
    <row r="45" spans="1:4" x14ac:dyDescent="0.15">
      <c r="A45" t="s">
        <v>7</v>
      </c>
      <c r="B45" s="116">
        <v>0.40763888888888866</v>
      </c>
      <c r="C45" s="116">
        <v>0.54861111111111049</v>
      </c>
      <c r="D45" s="113"/>
    </row>
    <row r="46" spans="1:4" x14ac:dyDescent="0.15">
      <c r="A46" t="s">
        <v>59</v>
      </c>
      <c r="B46" s="116">
        <v>0.40902777777777755</v>
      </c>
      <c r="C46" s="116">
        <v>0.54999999999999938</v>
      </c>
      <c r="D46" s="113"/>
    </row>
    <row r="47" spans="1:4" x14ac:dyDescent="0.15">
      <c r="A47" t="s">
        <v>10</v>
      </c>
      <c r="B47" s="116">
        <v>0.41180555555555531</v>
      </c>
      <c r="C47" s="116">
        <v>0.55277777777777715</v>
      </c>
      <c r="D47" s="113"/>
    </row>
    <row r="48" spans="1:4" x14ac:dyDescent="0.15">
      <c r="A48" t="s">
        <v>9</v>
      </c>
      <c r="B48" s="116">
        <v>0.41180555555555531</v>
      </c>
      <c r="C48" s="116">
        <v>0.55277777777777715</v>
      </c>
      <c r="D48" s="113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全体</vt:lpstr>
      <vt:lpstr>左回り</vt:lpstr>
      <vt:lpstr>右回り</vt:lpstr>
      <vt:lpstr>全体!Print_Area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高﨑 沙織</dc:creator>
  <cp:lastModifiedBy>髙橋 瑞歩</cp:lastModifiedBy>
  <cp:lastPrinted>2025-09-30T04:21:09Z</cp:lastPrinted>
  <dcterms:created xsi:type="dcterms:W3CDTF">2023-09-05T09:54:15Z</dcterms:created>
  <dcterms:modified xsi:type="dcterms:W3CDTF">2025-09-30T04:27:40Z</dcterms:modified>
</cp:coreProperties>
</file>